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oster" sheetId="1" state="visible" r:id="rId1"/>
    <sheet name="HP % Calculator" sheetId="2" state="visible" r:id="rId2"/>
  </sheets>
  <definedNames>
    <definedName name="_xlnm._FilterDatabase" localSheetId="0" hidden="1">'Roster'!$A$1:$S$50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555555"/>
      <sz val="11"/>
    </font>
    <font>
      <name val="Arial"/>
      <charset val="1"/>
      <family val="0"/>
      <b val="1"/>
      <sz val="14"/>
    </font>
  </fonts>
  <fills count="6">
    <fill>
      <patternFill/>
    </fill>
    <fill>
      <patternFill patternType="gray125"/>
    </fill>
    <fill>
      <patternFill patternType="solid">
        <fgColor rgb="FF1D2239"/>
        <bgColor rgb="FF003366"/>
      </patternFill>
    </fill>
    <fill>
      <patternFill patternType="solid">
        <fgColor rgb="FFF7EBC8"/>
        <bgColor rgb="FFFFF7D6"/>
      </patternFill>
    </fill>
    <fill>
      <patternFill patternType="solid">
        <fgColor rgb="FFF6DCDD"/>
        <bgColor rgb="FFF7EBC8"/>
      </patternFill>
    </fill>
    <fill>
      <patternFill patternType="solid">
        <fgColor rgb="FFFFF7D6"/>
        <bgColor rgb="FFF7EBC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/>
    </xf>
    <xf numFmtId="164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/>
    </xf>
    <xf numFmtId="164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D2239"/>
          <bgColor rgb="FF000000"/>
        </patternFill>
      </fill>
    </dxf>
    <dxf>
      <fill>
        <patternFill patternType="solid">
          <fgColor rgb="FFF6DCDD"/>
          <bgColor rgb="FF000000"/>
        </patternFill>
      </fill>
    </dxf>
    <dxf>
      <fill>
        <patternFill patternType="solid">
          <fgColor rgb="FFF7EBC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b val="1"/>
        <color rgb="FFC8414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8414B"/>
      <rgbColor rgb="FFFFF7D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7EBC8"/>
      <rgbColor rgb="FF99CCFF"/>
      <rgbColor rgb="FFFF99CC"/>
      <rgbColor rgb="FFCC99FF"/>
      <rgbColor rgb="FFF6DCD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23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5" min="1" max="1"/>
    <col width="9" customWidth="1" style="15" min="2" max="2"/>
    <col width="11" customWidth="1" style="15" min="3" max="3"/>
    <col width="22" customWidth="1" style="15" min="4" max="4"/>
    <col width="9" customWidth="1" style="15" min="5" max="5"/>
    <col width="8" customWidth="1" style="15" min="6" max="6"/>
    <col width="7" customWidth="1" style="15" min="7" max="9"/>
    <col width="9" customWidth="1" style="15" min="10" max="10"/>
    <col width="10" customWidth="1" style="15" min="11" max="12"/>
    <col width="9" customWidth="1" style="15" min="13" max="13"/>
    <col width="11" customWidth="1" style="15" min="14" max="15"/>
    <col width="26" customWidth="1" style="15" min="16" max="16"/>
    <col width="46" customWidth="1" style="15" min="17" max="17"/>
    <col width="10" customWidth="1" style="15" min="18" max="18"/>
    <col width="46" customWidth="1" style="15" min="19" max="19"/>
  </cols>
  <sheetData>
    <row r="1" ht="31.5" customHeight="1" s="16">
      <c r="A1" s="17" t="inlineStr">
        <is>
          <t>Character</t>
        </is>
      </c>
      <c r="B1" s="17" t="inlineStr">
        <is>
          <t>Version</t>
        </is>
      </c>
      <c r="C1" s="17" t="inlineStr">
        <is>
          <t>Side</t>
        </is>
      </c>
      <c r="D1" s="17" t="inlineStr">
        <is>
          <t>Type</t>
        </is>
      </c>
      <c r="E1" s="17" t="inlineStr">
        <is>
          <t>Cost (pts)</t>
        </is>
      </c>
      <c r="F1" s="17" t="inlineStr">
        <is>
          <t>Max HP</t>
        </is>
      </c>
      <c r="G1" s="17" t="inlineStr">
        <is>
          <t>PWR</t>
        </is>
      </c>
      <c r="H1" s="17" t="inlineStr">
        <is>
          <t>SPD</t>
        </is>
      </c>
      <c r="I1" s="17" t="inlineStr">
        <is>
          <t>DEF</t>
        </is>
      </c>
      <c r="J1" s="17" t="inlineStr">
        <is>
          <t>Regen / round</t>
        </is>
      </c>
      <c r="K1" s="17" t="inlineStr">
        <is>
          <t>1 HP = % of bar</t>
        </is>
      </c>
      <c r="L1" s="17" t="inlineStr">
        <is>
          <t>Regen as % of bar</t>
        </is>
      </c>
      <c r="M1" s="17" t="inlineStr">
        <is>
          <t>Strikes per Attack</t>
        </is>
      </c>
      <c r="N1" s="17" t="inlineStr">
        <is>
          <t>Max damage taken / round</t>
        </is>
      </c>
      <c r="O1" s="17" t="inlineStr">
        <is>
          <t>Max damage as % of bar</t>
        </is>
      </c>
      <c r="P1" s="17" t="inlineStr">
        <is>
          <t>Special</t>
        </is>
      </c>
      <c r="Q1" s="17" t="inlineStr">
        <is>
          <t>Special effect</t>
        </is>
      </c>
      <c r="R1" s="17" t="inlineStr">
        <is>
          <t>Cooldown (rounds)</t>
        </is>
      </c>
      <c r="S1" s="17" t="inlineStr">
        <is>
          <t>Passive</t>
        </is>
      </c>
    </row>
    <row r="2" ht="39.55" customHeight="1" s="16">
      <c r="A2" s="18" t="inlineStr">
        <is>
          <t>Yoriichi Tsugikuni</t>
        </is>
      </c>
      <c r="B2" s="18" t="inlineStr">
        <is>
          <t>Legend</t>
        </is>
      </c>
      <c r="C2" s="19" t="inlineStr">
        <is>
          <t>Slayer</t>
        </is>
      </c>
      <c r="D2" s="19" t="inlineStr">
        <is>
          <t>Sun Breathing · Legend</t>
        </is>
      </c>
      <c r="E2" s="20" t="n">
        <v>18</v>
      </c>
      <c r="F2" s="20" t="n">
        <v>50</v>
      </c>
      <c r="G2" s="20" t="n">
        <v>15</v>
      </c>
      <c r="H2" s="20" t="n">
        <v>12</v>
      </c>
      <c r="I2" s="20" t="n">
        <v>7</v>
      </c>
      <c r="J2" s="20" t="n">
        <v>0</v>
      </c>
      <c r="K2" s="21">
        <f>1/F2</f>
        <v/>
      </c>
      <c r="L2" s="21">
        <f>J2/F2</f>
        <v/>
      </c>
      <c r="M2" s="20" t="n">
        <v>2</v>
      </c>
      <c r="N2" s="20" t="n">
        <v>18</v>
      </c>
      <c r="O2" s="21">
        <f>IF(N2="","",N2/F2)</f>
        <v/>
      </c>
      <c r="P2" s="19" t="inlineStr">
        <is>
          <t>Sun Breathing: Thirteenth Form</t>
        </is>
      </c>
      <c r="Q2" s="22" t="inlineStr">
        <is>
          <t>Every enemy takes PWR, ignores DEF. Demons it hits lose their regeneration for good.</t>
        </is>
      </c>
      <c r="R2" s="20" t="n">
        <v>3</v>
      </c>
      <c r="S2" s="22" t="inlineStr">
        <is>
          <t>Transparent World: strikes twice every Attack and never takes more than 18 damage in a round.</t>
        </is>
      </c>
    </row>
    <row r="3" ht="26.85" customHeight="1" s="16">
      <c r="A3" s="18" t="inlineStr">
        <is>
          <t>Yoriichi (Age 85)</t>
        </is>
      </c>
      <c r="B3" s="18" t="inlineStr">
        <is>
          <t>Legend</t>
        </is>
      </c>
      <c r="C3" s="19" t="inlineStr">
        <is>
          <t>Slayer</t>
        </is>
      </c>
      <c r="D3" s="19" t="inlineStr">
        <is>
          <t>Sun Breathing · Legend</t>
        </is>
      </c>
      <c r="E3" s="20" t="n">
        <v>15</v>
      </c>
      <c r="F3" s="20" t="n">
        <v>44</v>
      </c>
      <c r="G3" s="20" t="n">
        <v>13</v>
      </c>
      <c r="H3" s="20" t="n">
        <v>11</v>
      </c>
      <c r="I3" s="20" t="n">
        <v>5</v>
      </c>
      <c r="J3" s="20" t="n">
        <v>0</v>
      </c>
      <c r="K3" s="21">
        <f>1/F3</f>
        <v/>
      </c>
      <c r="L3" s="21">
        <f>J3/F3</f>
        <v/>
      </c>
      <c r="M3" s="20" t="n">
        <v>2</v>
      </c>
      <c r="N3" s="20" t="n">
        <v>12</v>
      </c>
      <c r="O3" s="21">
        <f>IF(N3="","",N3/F3)</f>
        <v/>
      </c>
      <c r="P3" s="19" t="inlineStr">
        <is>
          <t>The Last Strike</t>
        </is>
      </c>
      <c r="Q3" s="22" t="inlineStr">
        <is>
          <t>Strike for PWR+10, ignores DEF.</t>
        </is>
      </c>
      <c r="R3" s="20" t="n">
        <v>3</v>
      </c>
      <c r="S3" s="22" t="inlineStr">
        <is>
          <t>Still the Strongest: strikes twice every Attack and never takes more than 12 damage in a round.</t>
        </is>
      </c>
    </row>
    <row r="4" ht="15" customHeight="1" s="16">
      <c r="A4" s="19" t="inlineStr">
        <is>
          <t>Muzan Kibutsuji (Final Form)</t>
        </is>
      </c>
      <c r="B4" s="19" t="inlineStr">
        <is>
          <t>Final Form</t>
        </is>
      </c>
      <c r="C4" s="19" t="inlineStr">
        <is>
          <t>Demon</t>
        </is>
      </c>
      <c r="D4" s="19" t="inlineStr">
        <is>
          <t>Demon King · Final Form</t>
        </is>
      </c>
      <c r="E4" s="20" t="n">
        <v>18</v>
      </c>
      <c r="F4" s="20" t="n">
        <v>52</v>
      </c>
      <c r="G4" s="20" t="n">
        <v>17</v>
      </c>
      <c r="H4" s="20" t="n">
        <v>11</v>
      </c>
      <c r="I4" s="20" t="n">
        <v>8</v>
      </c>
      <c r="J4" s="20" t="n">
        <v>5</v>
      </c>
      <c r="K4" s="21">
        <f>1/F4</f>
        <v/>
      </c>
      <c r="L4" s="21">
        <f>J4/F4</f>
        <v/>
      </c>
      <c r="M4" s="20" t="n">
        <v>1</v>
      </c>
      <c r="N4" s="20" t="n"/>
      <c r="O4" s="21">
        <f>IF(N4="","",N4/F4)</f>
        <v/>
      </c>
      <c r="P4" s="19" t="inlineStr">
        <is>
          <t>Thorned Flesh Whips</t>
        </is>
      </c>
      <c r="Q4" s="22" t="inlineStr">
        <is>
          <t>Every enemy takes PWR−6, ignores DEF, and he heals 3 for each enemy hit.</t>
        </is>
      </c>
      <c r="R4" s="20" t="n">
        <v>3</v>
      </c>
      <c r="S4" s="22" t="inlineStr">
        <is>
          <t>Seven Hearts: the first time he falls, he gets back up with 20% health.</t>
        </is>
      </c>
    </row>
    <row r="5" ht="26.85" customHeight="1" s="16">
      <c r="A5" s="19" t="inlineStr">
        <is>
          <t>Muzan Kibutsuji</t>
        </is>
      </c>
      <c r="B5" s="19" t="inlineStr">
        <is>
          <t>Base</t>
        </is>
      </c>
      <c r="C5" s="19" t="inlineStr">
        <is>
          <t>Demon</t>
        </is>
      </c>
      <c r="D5" s="19" t="inlineStr">
        <is>
          <t>Demon King</t>
        </is>
      </c>
      <c r="E5" s="20" t="n">
        <v>16</v>
      </c>
      <c r="F5" s="20" t="n">
        <v>54</v>
      </c>
      <c r="G5" s="20" t="n">
        <v>17</v>
      </c>
      <c r="H5" s="20" t="n">
        <v>11</v>
      </c>
      <c r="I5" s="20" t="n">
        <v>8</v>
      </c>
      <c r="J5" s="20" t="n">
        <v>4</v>
      </c>
      <c r="K5" s="21">
        <f>1/F5</f>
        <v/>
      </c>
      <c r="L5" s="21">
        <f>J5/F5</f>
        <v/>
      </c>
      <c r="M5" s="20" t="n">
        <v>1</v>
      </c>
      <c r="N5" s="20" t="n"/>
      <c r="O5" s="21">
        <f>IF(N5="","",N5/F5)</f>
        <v/>
      </c>
      <c r="P5" s="19" t="inlineStr">
        <is>
          <t>Blood Whips</t>
        </is>
      </c>
      <c r="Q5" s="22" t="inlineStr">
        <is>
          <t>Every enemy takes PWR−7, ignores DEF, and Muzan heals 2 for each enemy hit.</t>
        </is>
      </c>
      <c r="R5" s="20" t="n">
        <v>3</v>
      </c>
      <c r="S5" s="22" t="n"/>
    </row>
    <row r="6" ht="15" customHeight="1" s="16">
      <c r="A6" s="19" t="inlineStr">
        <is>
          <t>Kokushibo</t>
        </is>
      </c>
      <c r="B6" s="19" t="inlineStr">
        <is>
          <t>Base</t>
        </is>
      </c>
      <c r="C6" s="19" t="inlineStr">
        <is>
          <t>Demon</t>
        </is>
      </c>
      <c r="D6" s="19" t="inlineStr">
        <is>
          <t>Upper Moon 1</t>
        </is>
      </c>
      <c r="E6" s="20" t="n">
        <v>15</v>
      </c>
      <c r="F6" s="20" t="n">
        <v>50</v>
      </c>
      <c r="G6" s="20" t="n">
        <v>17</v>
      </c>
      <c r="H6" s="20" t="n">
        <v>11</v>
      </c>
      <c r="I6" s="20" t="n">
        <v>8</v>
      </c>
      <c r="J6" s="20" t="n">
        <v>3</v>
      </c>
      <c r="K6" s="21">
        <f>1/F6</f>
        <v/>
      </c>
      <c r="L6" s="21">
        <f>J6/F6</f>
        <v/>
      </c>
      <c r="M6" s="20" t="n">
        <v>1</v>
      </c>
      <c r="N6" s="20" t="n"/>
      <c r="O6" s="21">
        <f>IF(N6="","",N6/F6)</f>
        <v/>
      </c>
      <c r="P6" s="19" t="inlineStr">
        <is>
          <t>Moon Breathing</t>
        </is>
      </c>
      <c r="Q6" s="22" t="inlineStr">
        <is>
          <t>Every enemy takes PWR−4, ignores DEF.</t>
        </is>
      </c>
      <c r="R6" s="20" t="n">
        <v>3</v>
      </c>
      <c r="S6" s="22" t="n"/>
    </row>
    <row r="7" ht="15" customHeight="1" s="16">
      <c r="A7" s="19" t="inlineStr">
        <is>
          <t>Akaza</t>
        </is>
      </c>
      <c r="B7" s="19" t="inlineStr">
        <is>
          <t>Base</t>
        </is>
      </c>
      <c r="C7" s="19" t="inlineStr">
        <is>
          <t>Demon</t>
        </is>
      </c>
      <c r="D7" s="19" t="inlineStr">
        <is>
          <t>Upper Moon 3</t>
        </is>
      </c>
      <c r="E7" s="20" t="n">
        <v>9</v>
      </c>
      <c r="F7" s="20" t="n">
        <v>40</v>
      </c>
      <c r="G7" s="20" t="n">
        <v>13</v>
      </c>
      <c r="H7" s="20" t="n">
        <v>10</v>
      </c>
      <c r="I7" s="20" t="n">
        <v>5</v>
      </c>
      <c r="J7" s="20" t="n">
        <v>2</v>
      </c>
      <c r="K7" s="21">
        <f>1/F7</f>
        <v/>
      </c>
      <c r="L7" s="21">
        <f>J7/F7</f>
        <v/>
      </c>
      <c r="M7" s="20" t="n">
        <v>1</v>
      </c>
      <c r="N7" s="20" t="n"/>
      <c r="O7" s="21">
        <f>IF(N7="","",N7/F7)</f>
        <v/>
      </c>
      <c r="P7" s="19" t="inlineStr">
        <is>
          <t>Destructive Death</t>
        </is>
      </c>
      <c r="Q7" s="22" t="inlineStr">
        <is>
          <t>Strike for PWR+6.</t>
        </is>
      </c>
      <c r="R7" s="20" t="n">
        <v>3</v>
      </c>
      <c r="S7" s="22" t="n"/>
    </row>
    <row r="8" ht="26.85" customHeight="1" s="16">
      <c r="A8" s="19" t="inlineStr">
        <is>
          <t>Hantengu</t>
        </is>
      </c>
      <c r="B8" s="19" t="inlineStr">
        <is>
          <t>Base</t>
        </is>
      </c>
      <c r="C8" s="19" t="inlineStr">
        <is>
          <t>Demon</t>
        </is>
      </c>
      <c r="D8" s="19" t="inlineStr">
        <is>
          <t>Upper Moon 4</t>
        </is>
      </c>
      <c r="E8" s="20" t="n">
        <v>9</v>
      </c>
      <c r="F8" s="20" t="n">
        <v>20</v>
      </c>
      <c r="G8" s="20" t="n">
        <v>8</v>
      </c>
      <c r="H8" s="20" t="n">
        <v>9</v>
      </c>
      <c r="I8" s="20" t="n">
        <v>4</v>
      </c>
      <c r="J8" s="20" t="n">
        <v>1</v>
      </c>
      <c r="K8" s="21">
        <f>1/F8</f>
        <v/>
      </c>
      <c r="L8" s="21">
        <f>J8/F8</f>
        <v/>
      </c>
      <c r="M8" s="20" t="n">
        <v>1</v>
      </c>
      <c r="N8" s="20" t="n"/>
      <c r="O8" s="21">
        <f>IF(N8="","",N8/F8)</f>
        <v/>
      </c>
      <c r="P8" s="19" t="inlineStr">
        <is>
          <t>Cowering Hide</t>
        </is>
      </c>
      <c r="Q8" s="22" t="inlineStr">
        <is>
          <t>Moves first. Hides: attacks miss him this round, and he heals 6.</t>
        </is>
      </c>
      <c r="R8" s="20" t="n">
        <v>3</v>
      </c>
      <c r="S8" s="22" t="inlineStr">
        <is>
          <t>Splitting Emotions: when Hantengu falls he splits into Sekido and Karaku. When Sekido falls, Aizetsu takes his place; when Karaku falls, Urogi does. Beat all five to win.</t>
        </is>
      </c>
    </row>
    <row r="9" ht="15" customHeight="1" s="16">
      <c r="A9" s="19" t="inlineStr">
        <is>
          <t>Doma</t>
        </is>
      </c>
      <c r="B9" s="19" t="inlineStr">
        <is>
          <t>Base</t>
        </is>
      </c>
      <c r="C9" s="19" t="inlineStr">
        <is>
          <t>Demon</t>
        </is>
      </c>
      <c r="D9" s="19" t="inlineStr">
        <is>
          <t>Upper Moon 2</t>
        </is>
      </c>
      <c r="E9" s="20" t="n">
        <v>8</v>
      </c>
      <c r="F9" s="20" t="n">
        <v>37</v>
      </c>
      <c r="G9" s="20" t="n">
        <v>11</v>
      </c>
      <c r="H9" s="20" t="n">
        <v>9</v>
      </c>
      <c r="I9" s="20" t="n">
        <v>5</v>
      </c>
      <c r="J9" s="20" t="n">
        <v>2</v>
      </c>
      <c r="K9" s="21">
        <f>1/F9</f>
        <v/>
      </c>
      <c r="L9" s="21">
        <f>J9/F9</f>
        <v/>
      </c>
      <c r="M9" s="20" t="n">
        <v>1</v>
      </c>
      <c r="N9" s="20" t="n"/>
      <c r="O9" s="21">
        <f>IF(N9="","",N9/F9)</f>
        <v/>
      </c>
      <c r="P9" s="19" t="inlineStr">
        <is>
          <t>Frozen Lotus</t>
        </is>
      </c>
      <c r="Q9" s="22" t="inlineStr">
        <is>
          <t>Every enemy takes 8, ignores DEF.</t>
        </is>
      </c>
      <c r="R9" s="20" t="n">
        <v>3</v>
      </c>
      <c r="S9" s="22" t="n"/>
    </row>
    <row r="10" ht="15" customHeight="1" s="16">
      <c r="A10" s="19" t="inlineStr">
        <is>
          <t>Gyokko</t>
        </is>
      </c>
      <c r="B10" s="19" t="inlineStr">
        <is>
          <t>Base</t>
        </is>
      </c>
      <c r="C10" s="19" t="inlineStr">
        <is>
          <t>Demon</t>
        </is>
      </c>
      <c r="D10" s="19" t="inlineStr">
        <is>
          <t>Upper Moon 5</t>
        </is>
      </c>
      <c r="E10" s="20" t="n">
        <v>6</v>
      </c>
      <c r="F10" s="20" t="n">
        <v>32</v>
      </c>
      <c r="G10" s="20" t="n">
        <v>10</v>
      </c>
      <c r="H10" s="20" t="n">
        <v>8</v>
      </c>
      <c r="I10" s="20" t="n">
        <v>4</v>
      </c>
      <c r="J10" s="20" t="n">
        <v>2</v>
      </c>
      <c r="K10" s="21">
        <f>1/F10</f>
        <v/>
      </c>
      <c r="L10" s="21">
        <f>J10/F10</f>
        <v/>
      </c>
      <c r="M10" s="20" t="n">
        <v>1</v>
      </c>
      <c r="N10" s="20" t="n"/>
      <c r="O10" s="21">
        <f>IF(N10="","",N10/F10)</f>
        <v/>
      </c>
      <c r="P10" s="19" t="inlineStr">
        <is>
          <t>Water Prison Pot</t>
        </is>
      </c>
      <c r="Q10" s="22" t="inlineStr">
        <is>
          <t>Traps one enemy: it takes PWR−2 (ignores DEF) and can't act next round.</t>
        </is>
      </c>
      <c r="R10" s="20" t="n">
        <v>3</v>
      </c>
      <c r="S10" s="22" t="n"/>
    </row>
    <row r="11" ht="26.85" customHeight="1" s="16">
      <c r="A11" s="19" t="inlineStr">
        <is>
          <t>Gyutaro &amp; Daki</t>
        </is>
      </c>
      <c r="B11" s="19" t="inlineStr">
        <is>
          <t>Base</t>
        </is>
      </c>
      <c r="C11" s="19" t="inlineStr">
        <is>
          <t>Demon</t>
        </is>
      </c>
      <c r="D11" s="19" t="inlineStr">
        <is>
          <t>Upper Moon 6</t>
        </is>
      </c>
      <c r="E11" s="20" t="n">
        <v>6</v>
      </c>
      <c r="F11" s="20" t="n">
        <v>30</v>
      </c>
      <c r="G11" s="20" t="n">
        <v>9</v>
      </c>
      <c r="H11" s="20" t="n">
        <v>8</v>
      </c>
      <c r="I11" s="20" t="n">
        <v>4</v>
      </c>
      <c r="J11" s="20" t="n">
        <v>2</v>
      </c>
      <c r="K11" s="21">
        <f>1/F11</f>
        <v/>
      </c>
      <c r="L11" s="21">
        <f>J11/F11</f>
        <v/>
      </c>
      <c r="M11" s="20" t="n">
        <v>1</v>
      </c>
      <c r="N11" s="20" t="n"/>
      <c r="O11" s="21">
        <f>IF(N11="","",N11/F11)</f>
        <v/>
      </c>
      <c r="P11" s="19" t="inlineStr">
        <is>
          <t>Flying Blood Sickles</t>
        </is>
      </c>
      <c r="Q11" s="22" t="inlineStr">
        <is>
          <t>Every enemy takes 4 and is poisoned 2/round for 2 rounds.</t>
        </is>
      </c>
      <c r="R11" s="20" t="n">
        <v>3</v>
      </c>
      <c r="S11" s="22" t="n"/>
    </row>
    <row r="12" ht="15" customHeight="1" s="16">
      <c r="A12" s="19" t="inlineStr">
        <is>
          <t>Kaigaku</t>
        </is>
      </c>
      <c r="B12" s="19" t="inlineStr">
        <is>
          <t>Base</t>
        </is>
      </c>
      <c r="C12" s="19" t="inlineStr">
        <is>
          <t>Demon</t>
        </is>
      </c>
      <c r="D12" s="19" t="inlineStr">
        <is>
          <t>Upper Moon 6 · fallen Thunder</t>
        </is>
      </c>
      <c r="E12" s="20" t="n">
        <v>5</v>
      </c>
      <c r="F12" s="20" t="n">
        <v>26</v>
      </c>
      <c r="G12" s="20" t="n">
        <v>9</v>
      </c>
      <c r="H12" s="20" t="n">
        <v>10</v>
      </c>
      <c r="I12" s="20" t="n">
        <v>3</v>
      </c>
      <c r="J12" s="20" t="n">
        <v>1</v>
      </c>
      <c r="K12" s="21">
        <f>1/F12</f>
        <v/>
      </c>
      <c r="L12" s="21">
        <f>J12/F12</f>
        <v/>
      </c>
      <c r="M12" s="20" t="n">
        <v>1</v>
      </c>
      <c r="N12" s="20" t="n"/>
      <c r="O12" s="21">
        <f>IF(N12="","",N12/F12)</f>
        <v/>
      </c>
      <c r="P12" s="19" t="inlineStr">
        <is>
          <t>Black Thunder</t>
        </is>
      </c>
      <c r="Q12" s="22" t="inlineStr">
        <is>
          <t>Strike for PWR+3, and a second random enemy takes 4.</t>
        </is>
      </c>
      <c r="R12" s="20" t="n">
        <v>3</v>
      </c>
      <c r="S12" s="22" t="inlineStr">
        <is>
          <t>Rival: an enemy Zenitsu gets +2 PWR against him.</t>
        </is>
      </c>
    </row>
    <row r="13" ht="26.85" customHeight="1" s="16">
      <c r="A13" s="19" t="inlineStr">
        <is>
          <t>Enmu</t>
        </is>
      </c>
      <c r="B13" s="19" t="inlineStr">
        <is>
          <t>Base</t>
        </is>
      </c>
      <c r="C13" s="19" t="inlineStr">
        <is>
          <t>Demon</t>
        </is>
      </c>
      <c r="D13" s="19" t="inlineStr">
        <is>
          <t>Lower Moon 1</t>
        </is>
      </c>
      <c r="E13" s="20" t="n">
        <v>4</v>
      </c>
      <c r="F13" s="20" t="n">
        <v>28</v>
      </c>
      <c r="G13" s="20" t="n">
        <v>8</v>
      </c>
      <c r="H13" s="20" t="n">
        <v>8</v>
      </c>
      <c r="I13" s="20" t="n">
        <v>3</v>
      </c>
      <c r="J13" s="20" t="n">
        <v>1</v>
      </c>
      <c r="K13" s="21">
        <f>1/F13</f>
        <v/>
      </c>
      <c r="L13" s="21">
        <f>J13/F13</f>
        <v/>
      </c>
      <c r="M13" s="20" t="n">
        <v>1</v>
      </c>
      <c r="N13" s="20" t="n"/>
      <c r="O13" s="21">
        <f>IF(N13="","",N13/F13)</f>
        <v/>
      </c>
      <c r="P13" s="19" t="inlineStr">
        <is>
          <t>Forced Sleep</t>
        </is>
      </c>
      <c r="Q13" s="22" t="inlineStr">
        <is>
          <t>Every enemy has to wait 2 more rounds for their special.</t>
        </is>
      </c>
      <c r="R13" s="20" t="n">
        <v>3</v>
      </c>
      <c r="S13" s="22" t="n"/>
    </row>
    <row r="14" ht="26.85" customHeight="1" s="16">
      <c r="A14" s="19" t="inlineStr">
        <is>
          <t>Rui</t>
        </is>
      </c>
      <c r="B14" s="19" t="inlineStr">
        <is>
          <t>Base</t>
        </is>
      </c>
      <c r="C14" s="19" t="inlineStr">
        <is>
          <t>Demon</t>
        </is>
      </c>
      <c r="D14" s="19" t="inlineStr">
        <is>
          <t>Lower Moon 5</t>
        </is>
      </c>
      <c r="E14" s="20" t="n">
        <v>4</v>
      </c>
      <c r="F14" s="20" t="n">
        <v>24</v>
      </c>
      <c r="G14" s="20" t="n">
        <v>7</v>
      </c>
      <c r="H14" s="20" t="n">
        <v>7</v>
      </c>
      <c r="I14" s="20" t="n">
        <v>4</v>
      </c>
      <c r="J14" s="20" t="n">
        <v>1</v>
      </c>
      <c r="K14" s="21">
        <f>1/F14</f>
        <v/>
      </c>
      <c r="L14" s="21">
        <f>J14/F14</f>
        <v/>
      </c>
      <c r="M14" s="20" t="n">
        <v>1</v>
      </c>
      <c r="N14" s="20" t="n"/>
      <c r="O14" s="21">
        <f>IF(N14="","",N14/F14)</f>
        <v/>
      </c>
      <c r="P14" s="19" t="inlineStr">
        <is>
          <t>Cutting Thread Cage</t>
        </is>
      </c>
      <c r="Q14" s="22" t="inlineStr">
        <is>
          <t>Strike for PWR and stun the target next round.</t>
        </is>
      </c>
      <c r="R14" s="20" t="n">
        <v>3</v>
      </c>
      <c r="S14" s="22" t="n"/>
    </row>
    <row r="15" ht="26.85" customHeight="1" s="16">
      <c r="A15" s="19" t="inlineStr">
        <is>
          <t>Kyogai</t>
        </is>
      </c>
      <c r="B15" s="19" t="inlineStr">
        <is>
          <t>Base</t>
        </is>
      </c>
      <c r="C15" s="19" t="inlineStr">
        <is>
          <t>Demon</t>
        </is>
      </c>
      <c r="D15" s="19" t="inlineStr">
        <is>
          <t>Former Lower Moon</t>
        </is>
      </c>
      <c r="E15" s="20" t="n">
        <v>3</v>
      </c>
      <c r="F15" s="20" t="n">
        <v>22</v>
      </c>
      <c r="G15" s="20" t="n">
        <v>6</v>
      </c>
      <c r="H15" s="20" t="n">
        <v>6</v>
      </c>
      <c r="I15" s="20" t="n">
        <v>3</v>
      </c>
      <c r="J15" s="20" t="n">
        <v>1</v>
      </c>
      <c r="K15" s="21">
        <f>1/F15</f>
        <v/>
      </c>
      <c r="L15" s="21">
        <f>J15/F15</f>
        <v/>
      </c>
      <c r="M15" s="20" t="n">
        <v>1</v>
      </c>
      <c r="N15" s="20" t="n"/>
      <c r="O15" s="21">
        <f>IF(N15="","",N15/F15)</f>
        <v/>
      </c>
      <c r="P15" s="19" t="inlineStr">
        <is>
          <t>Drum Room Spin</t>
        </is>
      </c>
      <c r="Q15" s="22" t="inlineStr">
        <is>
          <t>Flip the room. The target is stunned next round.</t>
        </is>
      </c>
      <c r="R15" s="20" t="n">
        <v>4</v>
      </c>
      <c r="S15" s="22" t="n"/>
    </row>
    <row r="16" ht="26.85" customHeight="1" s="16">
      <c r="A16" s="19" t="inlineStr">
        <is>
          <t>Swamp Demon</t>
        </is>
      </c>
      <c r="B16" s="19" t="inlineStr">
        <is>
          <t>Base</t>
        </is>
      </c>
      <c r="C16" s="19" t="inlineStr">
        <is>
          <t>Demon</t>
        </is>
      </c>
      <c r="D16" s="19" t="inlineStr">
        <is>
          <t>Lesser demon</t>
        </is>
      </c>
      <c r="E16" s="20" t="n">
        <v>3</v>
      </c>
      <c r="F16" s="20" t="n">
        <v>16</v>
      </c>
      <c r="G16" s="20" t="n">
        <v>5</v>
      </c>
      <c r="H16" s="20" t="n">
        <v>8</v>
      </c>
      <c r="I16" s="20" t="n">
        <v>2</v>
      </c>
      <c r="J16" s="20" t="n">
        <v>1</v>
      </c>
      <c r="K16" s="21">
        <f>1/F16</f>
        <v/>
      </c>
      <c r="L16" s="21">
        <f>J16/F16</f>
        <v/>
      </c>
      <c r="M16" s="20" t="n">
        <v>1</v>
      </c>
      <c r="N16" s="20" t="n"/>
      <c r="O16" s="21">
        <f>IF(N16="","",N16/F16)</f>
        <v/>
      </c>
      <c r="P16" s="19" t="inlineStr">
        <is>
          <t>Swamp Dive</t>
        </is>
      </c>
      <c r="Q16" s="22" t="inlineStr">
        <is>
          <t>Moves early. Sinks out of reach this round and strikes for PWR+1.</t>
        </is>
      </c>
      <c r="R16" s="20" t="n">
        <v>2</v>
      </c>
      <c r="S16" s="22" t="n"/>
    </row>
    <row r="17" ht="26.85" customHeight="1" s="16">
      <c r="A17" s="19" t="inlineStr">
        <is>
          <t>Hand Demon</t>
        </is>
      </c>
      <c r="B17" s="19" t="inlineStr">
        <is>
          <t>Base</t>
        </is>
      </c>
      <c r="C17" s="19" t="inlineStr">
        <is>
          <t>Demon</t>
        </is>
      </c>
      <c r="D17" s="19" t="inlineStr">
        <is>
          <t>Final Selection</t>
        </is>
      </c>
      <c r="E17" s="20" t="n">
        <v>2</v>
      </c>
      <c r="F17" s="20" t="n">
        <v>16</v>
      </c>
      <c r="G17" s="20" t="n">
        <v>5</v>
      </c>
      <c r="H17" s="20" t="n">
        <v>4</v>
      </c>
      <c r="I17" s="20" t="n">
        <v>3</v>
      </c>
      <c r="J17" s="20" t="n">
        <v>1</v>
      </c>
      <c r="K17" s="21">
        <f>1/F17</f>
        <v/>
      </c>
      <c r="L17" s="21">
        <f>J17/F17</f>
        <v/>
      </c>
      <c r="M17" s="20" t="n">
        <v>1</v>
      </c>
      <c r="N17" s="20" t="n"/>
      <c r="O17" s="21">
        <f>IF(N17="","",N17/F17)</f>
        <v/>
      </c>
      <c r="P17" s="19" t="inlineStr">
        <is>
          <t>Grasping Arms</t>
        </is>
      </c>
      <c r="Q17" s="22" t="inlineStr">
        <is>
          <t>Strike for PWR+3.</t>
        </is>
      </c>
      <c r="R17" s="20" t="n">
        <v>2</v>
      </c>
      <c r="S17" s="22" t="n"/>
    </row>
    <row r="18" ht="26.85" customHeight="1" s="16">
      <c r="A18" s="19" t="inlineStr">
        <is>
          <t>Sekido (Anger)</t>
        </is>
      </c>
      <c r="B18" s="19" t="inlineStr">
        <is>
          <t>Split form</t>
        </is>
      </c>
      <c r="C18" s="19" t="inlineStr">
        <is>
          <t>Demon</t>
        </is>
      </c>
      <c r="D18" s="19" t="inlineStr">
        <is>
          <t>Hantengu split · Anger</t>
        </is>
      </c>
      <c r="E18" s="20" t="n">
        <v>0</v>
      </c>
      <c r="F18" s="20" t="n">
        <v>14</v>
      </c>
      <c r="G18" s="20" t="n">
        <v>7</v>
      </c>
      <c r="H18" s="20" t="n">
        <v>8</v>
      </c>
      <c r="I18" s="20" t="n">
        <v>3</v>
      </c>
      <c r="J18" s="20" t="n">
        <v>1</v>
      </c>
      <c r="K18" s="21">
        <f>1/F18</f>
        <v/>
      </c>
      <c r="L18" s="21">
        <f>J18/F18</f>
        <v/>
      </c>
      <c r="M18" s="20" t="n">
        <v>1</v>
      </c>
      <c r="N18" s="20" t="n"/>
      <c r="O18" s="21">
        <f>IF(N18="","",N18/F18)</f>
        <v/>
      </c>
      <c r="P18" s="19" t="inlineStr">
        <is>
          <t>Lightning Staff</t>
        </is>
      </c>
      <c r="Q18" s="22" t="inlineStr">
        <is>
          <t>Every enemy takes 4, ignores DEF.</t>
        </is>
      </c>
      <c r="R18" s="20" t="n">
        <v>3</v>
      </c>
      <c r="S18" s="22" t="inlineStr">
        <is>
          <t>Appears when Hantengu falls. Not drafted.</t>
        </is>
      </c>
    </row>
    <row r="19" ht="15" customHeight="1" s="16">
      <c r="A19" s="19" t="inlineStr">
        <is>
          <t>Karaku (Joy)</t>
        </is>
      </c>
      <c r="B19" s="19" t="inlineStr">
        <is>
          <t>Split form</t>
        </is>
      </c>
      <c r="C19" s="19" t="inlineStr">
        <is>
          <t>Demon</t>
        </is>
      </c>
      <c r="D19" s="19" t="inlineStr">
        <is>
          <t>Hantengu split · Joy</t>
        </is>
      </c>
      <c r="E19" s="20" t="n">
        <v>0</v>
      </c>
      <c r="F19" s="20" t="n">
        <v>14</v>
      </c>
      <c r="G19" s="20" t="n">
        <v>7</v>
      </c>
      <c r="H19" s="20" t="n">
        <v>10</v>
      </c>
      <c r="I19" s="20" t="n">
        <v>3</v>
      </c>
      <c r="J19" s="20" t="n">
        <v>1</v>
      </c>
      <c r="K19" s="21">
        <f>1/F19</f>
        <v/>
      </c>
      <c r="L19" s="21">
        <f>J19/F19</f>
        <v/>
      </c>
      <c r="M19" s="20" t="n">
        <v>1</v>
      </c>
      <c r="N19" s="20" t="n"/>
      <c r="O19" s="21">
        <f>IF(N19="","",N19/F19)</f>
        <v/>
      </c>
      <c r="P19" s="19" t="inlineStr">
        <is>
          <t>Gale Fan</t>
        </is>
      </c>
      <c r="Q19" s="22" t="inlineStr">
        <is>
          <t>Strike for PWR+3.</t>
        </is>
      </c>
      <c r="R19" s="20" t="n">
        <v>2</v>
      </c>
      <c r="S19" s="22" t="inlineStr">
        <is>
          <t>Appears when Hantengu falls. Not drafted.</t>
        </is>
      </c>
    </row>
    <row r="20" ht="26.85" customHeight="1" s="16">
      <c r="A20" s="19" t="inlineStr">
        <is>
          <t>Aizetsu (Sorrow)</t>
        </is>
      </c>
      <c r="B20" s="19" t="inlineStr">
        <is>
          <t>Split form</t>
        </is>
      </c>
      <c r="C20" s="19" t="inlineStr">
        <is>
          <t>Demon</t>
        </is>
      </c>
      <c r="D20" s="19" t="inlineStr">
        <is>
          <t>Hantengu split · Sorrow</t>
        </is>
      </c>
      <c r="E20" s="20" t="n">
        <v>0</v>
      </c>
      <c r="F20" s="20" t="n">
        <v>10</v>
      </c>
      <c r="G20" s="20" t="n">
        <v>7</v>
      </c>
      <c r="H20" s="20" t="n">
        <v>9</v>
      </c>
      <c r="I20" s="20" t="n">
        <v>3</v>
      </c>
      <c r="J20" s="20" t="n">
        <v>1</v>
      </c>
      <c r="K20" s="21">
        <f>1/F20</f>
        <v/>
      </c>
      <c r="L20" s="21">
        <f>J20/F20</f>
        <v/>
      </c>
      <c r="M20" s="20" t="n">
        <v>1</v>
      </c>
      <c r="N20" s="20" t="n"/>
      <c r="O20" s="21">
        <f>IF(N20="","",N20/F20)</f>
        <v/>
      </c>
      <c r="P20" s="19" t="inlineStr">
        <is>
          <t>Cross Spear</t>
        </is>
      </c>
      <c r="Q20" s="22" t="inlineStr">
        <is>
          <t>Strike for PWR+4.</t>
        </is>
      </c>
      <c r="R20" s="20" t="n">
        <v>3</v>
      </c>
      <c r="S20" s="22" t="inlineStr">
        <is>
          <t>Appears when Sekido falls. Not drafted.</t>
        </is>
      </c>
    </row>
    <row r="21" ht="26.85" customHeight="1" s="16">
      <c r="A21" s="19" t="inlineStr">
        <is>
          <t>Urogi (Pleasure)</t>
        </is>
      </c>
      <c r="B21" s="19" t="inlineStr">
        <is>
          <t>Split form</t>
        </is>
      </c>
      <c r="C21" s="19" t="inlineStr">
        <is>
          <t>Demon</t>
        </is>
      </c>
      <c r="D21" s="19" t="inlineStr">
        <is>
          <t>Hantengu split · Pleasure</t>
        </is>
      </c>
      <c r="E21" s="20" t="n">
        <v>0</v>
      </c>
      <c r="F21" s="20" t="n">
        <v>10</v>
      </c>
      <c r="G21" s="20" t="n">
        <v>6</v>
      </c>
      <c r="H21" s="20" t="n">
        <v>11</v>
      </c>
      <c r="I21" s="20" t="n">
        <v>2</v>
      </c>
      <c r="J21" s="20" t="n">
        <v>1</v>
      </c>
      <c r="K21" s="21">
        <f>1/F21</f>
        <v/>
      </c>
      <c r="L21" s="21">
        <f>J21/F21</f>
        <v/>
      </c>
      <c r="M21" s="20" t="n">
        <v>1</v>
      </c>
      <c r="N21" s="20" t="n"/>
      <c r="O21" s="21">
        <f>IF(N21="","",N21/F21)</f>
        <v/>
      </c>
      <c r="P21" s="19" t="inlineStr">
        <is>
          <t>Sky Dive</t>
        </is>
      </c>
      <c r="Q21" s="22" t="inlineStr">
        <is>
          <t>Moves early. Swoops down for PWR+2.</t>
        </is>
      </c>
      <c r="R21" s="20" t="n">
        <v>2</v>
      </c>
      <c r="S21" s="22" t="inlineStr">
        <is>
          <t>Appears when Karaku falls. Not drafted.</t>
        </is>
      </c>
    </row>
    <row r="22" ht="26.85" customHeight="1" s="16">
      <c r="A22" s="23" t="inlineStr">
        <is>
          <t>Gyomei Himejima (Mark)</t>
        </is>
      </c>
      <c r="B22" s="23" t="inlineStr">
        <is>
          <t>Mark</t>
        </is>
      </c>
      <c r="C22" s="19" t="inlineStr">
        <is>
          <t>Slayer</t>
        </is>
      </c>
      <c r="D22" s="19" t="inlineStr">
        <is>
          <t>Stone Hashira</t>
        </is>
      </c>
      <c r="E22" s="20" t="n">
        <v>12</v>
      </c>
      <c r="F22" s="20" t="n">
        <v>50</v>
      </c>
      <c r="G22" s="20" t="n">
        <v>17</v>
      </c>
      <c r="H22" s="20" t="n">
        <v>9</v>
      </c>
      <c r="I22" s="20" t="n">
        <v>8</v>
      </c>
      <c r="J22" s="20" t="n">
        <v>0</v>
      </c>
      <c r="K22" s="21">
        <f>1/F22</f>
        <v/>
      </c>
      <c r="L22" s="21">
        <f>J22/F22</f>
        <v/>
      </c>
      <c r="M22" s="20" t="n">
        <v>1</v>
      </c>
      <c r="N22" s="20" t="n"/>
      <c r="O22" s="21">
        <f>IF(N22="","",N22/F22)</f>
        <v/>
      </c>
      <c r="P22" s="19" t="inlineStr">
        <is>
          <t>Volcanic Rock</t>
        </is>
      </c>
      <c r="Q22" s="22" t="inlineStr">
        <is>
          <t>Every enemy takes PWR−3.</t>
        </is>
      </c>
      <c r="R22" s="20" t="n">
        <v>2</v>
      </c>
      <c r="S22" s="22" t="inlineStr">
        <is>
          <t>Mark awakened: boosted stats and the special recharges 1 round faster.</t>
        </is>
      </c>
    </row>
    <row r="23" ht="15" customHeight="1" s="16">
      <c r="A23" s="23" t="inlineStr">
        <is>
          <t>Giyu Tomioka (Mark)</t>
        </is>
      </c>
      <c r="B23" s="23" t="inlineStr">
        <is>
          <t>Mark</t>
        </is>
      </c>
      <c r="C23" s="19" t="inlineStr">
        <is>
          <t>Slayer</t>
        </is>
      </c>
      <c r="D23" s="19" t="inlineStr">
        <is>
          <t>Water Hashira</t>
        </is>
      </c>
      <c r="E23" s="20" t="n">
        <v>10</v>
      </c>
      <c r="F23" s="20" t="n">
        <v>40</v>
      </c>
      <c r="G23" s="20" t="n">
        <v>14</v>
      </c>
      <c r="H23" s="20" t="n">
        <v>10</v>
      </c>
      <c r="I23" s="20" t="n">
        <v>6</v>
      </c>
      <c r="J23" s="20" t="n">
        <v>0</v>
      </c>
      <c r="K23" s="21">
        <f>1/F23</f>
        <v/>
      </c>
      <c r="L23" s="21">
        <f>J23/F23</f>
        <v/>
      </c>
      <c r="M23" s="20" t="n">
        <v>1</v>
      </c>
      <c r="N23" s="20" t="n"/>
      <c r="O23" s="21">
        <f>IF(N23="","",N23/F23)</f>
        <v/>
      </c>
      <c r="P23" s="19" t="inlineStr">
        <is>
          <t>Dead Calm</t>
        </is>
      </c>
      <c r="Q23" s="22" t="inlineStr">
        <is>
          <t>Moves first. Your whole team takes no damage this round.</t>
        </is>
      </c>
      <c r="R23" s="20" t="n">
        <v>3</v>
      </c>
      <c r="S23" s="22" t="inlineStr">
        <is>
          <t>Mark awakened: boosted stats and the special recharges 1 round faster.</t>
        </is>
      </c>
    </row>
    <row r="24" ht="15" customHeight="1" s="16">
      <c r="A24" s="23" t="inlineStr">
        <is>
          <t>Muichiro Tokito (Mark)</t>
        </is>
      </c>
      <c r="B24" s="23" t="inlineStr">
        <is>
          <t>Mark</t>
        </is>
      </c>
      <c r="C24" s="19" t="inlineStr">
        <is>
          <t>Slayer</t>
        </is>
      </c>
      <c r="D24" s="19" t="inlineStr">
        <is>
          <t>Mist Hashira</t>
        </is>
      </c>
      <c r="E24" s="20" t="n">
        <v>10</v>
      </c>
      <c r="F24" s="20" t="n">
        <v>34</v>
      </c>
      <c r="G24" s="20" t="n">
        <v>14</v>
      </c>
      <c r="H24" s="20" t="n">
        <v>13</v>
      </c>
      <c r="I24" s="20" t="n">
        <v>5</v>
      </c>
      <c r="J24" s="20" t="n">
        <v>0</v>
      </c>
      <c r="K24" s="21">
        <f>1/F24</f>
        <v/>
      </c>
      <c r="L24" s="21">
        <f>J24/F24</f>
        <v/>
      </c>
      <c r="M24" s="20" t="n">
        <v>1</v>
      </c>
      <c r="N24" s="20" t="n"/>
      <c r="O24" s="21">
        <f>IF(N24="","",N24/F24)</f>
        <v/>
      </c>
      <c r="P24" s="19" t="inlineStr">
        <is>
          <t>Obscuring Clouds</t>
        </is>
      </c>
      <c r="Q24" s="22" t="inlineStr">
        <is>
          <t>Moves early. Vanishes into mist (attacks miss him this round) and strikes for PWR+2.</t>
        </is>
      </c>
      <c r="R24" s="20" t="n">
        <v>2</v>
      </c>
      <c r="S24" s="22" t="inlineStr">
        <is>
          <t>Mark awakened: boosted stats and the special recharges 1 round faster.</t>
        </is>
      </c>
    </row>
    <row r="25" ht="15" customHeight="1" s="16">
      <c r="A25" s="23" t="inlineStr">
        <is>
          <t>Sanemi Shinazugawa (Mark)</t>
        </is>
      </c>
      <c r="B25" s="23" t="inlineStr">
        <is>
          <t>Mark</t>
        </is>
      </c>
      <c r="C25" s="19" t="inlineStr">
        <is>
          <t>Slayer</t>
        </is>
      </c>
      <c r="D25" s="19" t="inlineStr">
        <is>
          <t>Wind Hashira</t>
        </is>
      </c>
      <c r="E25" s="20" t="n">
        <v>10</v>
      </c>
      <c r="F25" s="20" t="n">
        <v>42</v>
      </c>
      <c r="G25" s="20" t="n">
        <v>15</v>
      </c>
      <c r="H25" s="20" t="n">
        <v>11</v>
      </c>
      <c r="I25" s="20" t="n">
        <v>6</v>
      </c>
      <c r="J25" s="20" t="n">
        <v>0</v>
      </c>
      <c r="K25" s="21">
        <f>1/F25</f>
        <v/>
      </c>
      <c r="L25" s="21">
        <f>J25/F25</f>
        <v/>
      </c>
      <c r="M25" s="20" t="n">
        <v>1</v>
      </c>
      <c r="N25" s="20" t="n"/>
      <c r="O25" s="21">
        <f>IF(N25="","",N25/F25)</f>
        <v/>
      </c>
      <c r="P25" s="19" t="inlineStr">
        <is>
          <t>Black Wind Mountain Mist</t>
        </is>
      </c>
      <c r="Q25" s="22" t="inlineStr">
        <is>
          <t>Strike your target and one other enemy for PWR.</t>
        </is>
      </c>
      <c r="R25" s="20" t="n">
        <v>2</v>
      </c>
      <c r="S25" s="22" t="inlineStr">
        <is>
          <t>Mark awakened: boosted stats and the special recharges 1 round faster.</t>
        </is>
      </c>
    </row>
    <row r="26" ht="15" customHeight="1" s="16">
      <c r="A26" s="19" t="inlineStr">
        <is>
          <t>Giyu Tomioka</t>
        </is>
      </c>
      <c r="B26" s="19" t="inlineStr">
        <is>
          <t>Base</t>
        </is>
      </c>
      <c r="C26" s="19" t="inlineStr">
        <is>
          <t>Slayer</t>
        </is>
      </c>
      <c r="D26" s="19" t="inlineStr">
        <is>
          <t>Water Hashira</t>
        </is>
      </c>
      <c r="E26" s="20" t="n">
        <v>8</v>
      </c>
      <c r="F26" s="20" t="n">
        <v>32</v>
      </c>
      <c r="G26" s="20" t="n">
        <v>10</v>
      </c>
      <c r="H26" s="20" t="n">
        <v>8</v>
      </c>
      <c r="I26" s="20" t="n">
        <v>5</v>
      </c>
      <c r="J26" s="20" t="n">
        <v>0</v>
      </c>
      <c r="K26" s="21">
        <f>1/F26</f>
        <v/>
      </c>
      <c r="L26" s="21">
        <f>J26/F26</f>
        <v/>
      </c>
      <c r="M26" s="20" t="n">
        <v>1</v>
      </c>
      <c r="N26" s="20" t="n"/>
      <c r="O26" s="21">
        <f>IF(N26="","",N26/F26)</f>
        <v/>
      </c>
      <c r="P26" s="19" t="inlineStr">
        <is>
          <t>Dead Calm</t>
        </is>
      </c>
      <c r="Q26" s="22" t="inlineStr">
        <is>
          <t>Moves first. Your whole team takes no damage this round.</t>
        </is>
      </c>
      <c r="R26" s="20" t="n">
        <v>4</v>
      </c>
      <c r="S26" s="22" t="n"/>
    </row>
    <row r="27" ht="26.85" customHeight="1" s="16">
      <c r="A27" s="19" t="inlineStr">
        <is>
          <t>Gyomei Himejima</t>
        </is>
      </c>
      <c r="B27" s="19" t="inlineStr">
        <is>
          <t>Base</t>
        </is>
      </c>
      <c r="C27" s="19" t="inlineStr">
        <is>
          <t>Slayer</t>
        </is>
      </c>
      <c r="D27" s="19" t="inlineStr">
        <is>
          <t>Stone Hashira</t>
        </is>
      </c>
      <c r="E27" s="20" t="n">
        <v>8</v>
      </c>
      <c r="F27" s="20" t="n">
        <v>42</v>
      </c>
      <c r="G27" s="20" t="n">
        <v>13</v>
      </c>
      <c r="H27" s="20" t="n">
        <v>7</v>
      </c>
      <c r="I27" s="20" t="n">
        <v>7</v>
      </c>
      <c r="J27" s="20" t="n">
        <v>0</v>
      </c>
      <c r="K27" s="21">
        <f>1/F27</f>
        <v/>
      </c>
      <c r="L27" s="21">
        <f>J27/F27</f>
        <v/>
      </c>
      <c r="M27" s="20" t="n">
        <v>1</v>
      </c>
      <c r="N27" s="20" t="n"/>
      <c r="O27" s="21">
        <f>IF(N27="","",N27/F27)</f>
        <v/>
      </c>
      <c r="P27" s="19" t="inlineStr">
        <is>
          <t>Volcanic Rock</t>
        </is>
      </c>
      <c r="Q27" s="22" t="inlineStr">
        <is>
          <t>Every enemy takes PWR−3.</t>
        </is>
      </c>
      <c r="R27" s="20" t="n">
        <v>3</v>
      </c>
      <c r="S27" s="22" t="n"/>
    </row>
    <row r="28" ht="39.55" customHeight="1" s="16">
      <c r="A28" s="23" t="inlineStr">
        <is>
          <t>Mitsuri Kanroji (Mark)</t>
        </is>
      </c>
      <c r="B28" s="23" t="inlineStr">
        <is>
          <t>Mark</t>
        </is>
      </c>
      <c r="C28" s="19" t="inlineStr">
        <is>
          <t>Slayer</t>
        </is>
      </c>
      <c r="D28" s="19" t="inlineStr">
        <is>
          <t>Love Hashira</t>
        </is>
      </c>
      <c r="E28" s="20" t="n">
        <v>8</v>
      </c>
      <c r="F28" s="20" t="n">
        <v>36</v>
      </c>
      <c r="G28" s="20" t="n">
        <v>13</v>
      </c>
      <c r="H28" s="20" t="n">
        <v>11</v>
      </c>
      <c r="I28" s="20" t="n">
        <v>5</v>
      </c>
      <c r="J28" s="20" t="n">
        <v>0</v>
      </c>
      <c r="K28" s="21">
        <f>1/F28</f>
        <v/>
      </c>
      <c r="L28" s="21">
        <f>J28/F28</f>
        <v/>
      </c>
      <c r="M28" s="20" t="n">
        <v>1</v>
      </c>
      <c r="N28" s="20" t="n"/>
      <c r="O28" s="21">
        <f>IF(N28="","",N28/F28)</f>
        <v/>
      </c>
      <c r="P28" s="19" t="inlineStr">
        <is>
          <t>Catlove Shower</t>
        </is>
      </c>
      <c r="Q28" s="22" t="inlineStr">
        <is>
          <t>Every enemy takes PWR−3.</t>
        </is>
      </c>
      <c r="R28" s="20" t="n">
        <v>2</v>
      </c>
      <c r="S28" s="22" t="inlineStr">
        <is>
          <t>Mark awakened: boosted stats and the special recharges 1 round faster.</t>
        </is>
      </c>
    </row>
    <row r="29" ht="15" customHeight="1" s="16">
      <c r="A29" s="23" t="inlineStr">
        <is>
          <t>Obanai Iguro (Mark)</t>
        </is>
      </c>
      <c r="B29" s="23" t="inlineStr">
        <is>
          <t>Mark</t>
        </is>
      </c>
      <c r="C29" s="19" t="inlineStr">
        <is>
          <t>Slayer</t>
        </is>
      </c>
      <c r="D29" s="19" t="inlineStr">
        <is>
          <t>Serpent Hashira</t>
        </is>
      </c>
      <c r="E29" s="20" t="n">
        <v>8</v>
      </c>
      <c r="F29" s="20" t="n">
        <v>34</v>
      </c>
      <c r="G29" s="20" t="n">
        <v>13</v>
      </c>
      <c r="H29" s="20" t="n">
        <v>12</v>
      </c>
      <c r="I29" s="20" t="n">
        <v>5</v>
      </c>
      <c r="J29" s="20" t="n">
        <v>0</v>
      </c>
      <c r="K29" s="21">
        <f>1/F29</f>
        <v/>
      </c>
      <c r="L29" s="21">
        <f>J29/F29</f>
        <v/>
      </c>
      <c r="M29" s="20" t="n">
        <v>1</v>
      </c>
      <c r="N29" s="20" t="n"/>
      <c r="O29" s="21">
        <f>IF(N29="","",N29/F29)</f>
        <v/>
      </c>
      <c r="P29" s="19" t="inlineStr">
        <is>
          <t>Twin-Headed Reptile</t>
        </is>
      </c>
      <c r="Q29" s="22" t="inlineStr">
        <is>
          <t>Strike for PWR+4. Slips past guards (Defend does nothing).</t>
        </is>
      </c>
      <c r="R29" s="20" t="n">
        <v>2</v>
      </c>
      <c r="S29" s="22" t="inlineStr">
        <is>
          <t>Mark awakened: boosted stats and the special recharges 1 round faster.</t>
        </is>
      </c>
    </row>
    <row r="30" ht="15" customHeight="1" s="16">
      <c r="A30" s="23" t="inlineStr">
        <is>
          <t>Tanjiro Kamado (Mark)</t>
        </is>
      </c>
      <c r="B30" s="23" t="inlineStr">
        <is>
          <t>Mark</t>
        </is>
      </c>
      <c r="C30" s="19" t="inlineStr">
        <is>
          <t>Slayer</t>
        </is>
      </c>
      <c r="D30" s="19" t="inlineStr">
        <is>
          <t>Sun &amp; Water</t>
        </is>
      </c>
      <c r="E30" s="20" t="n">
        <v>8</v>
      </c>
      <c r="F30" s="20" t="n">
        <v>36</v>
      </c>
      <c r="G30" s="20" t="n">
        <v>12</v>
      </c>
      <c r="H30" s="20" t="n">
        <v>9</v>
      </c>
      <c r="I30" s="20" t="n">
        <v>5</v>
      </c>
      <c r="J30" s="20" t="n">
        <v>0</v>
      </c>
      <c r="K30" s="21">
        <f>1/F30</f>
        <v/>
      </c>
      <c r="L30" s="21">
        <f>J30/F30</f>
        <v/>
      </c>
      <c r="M30" s="20" t="n">
        <v>1</v>
      </c>
      <c r="N30" s="20" t="n"/>
      <c r="O30" s="21">
        <f>IF(N30="","",N30/F30)</f>
        <v/>
      </c>
      <c r="P30" s="19" t="inlineStr">
        <is>
          <t>Hinokami Kagura</t>
        </is>
      </c>
      <c r="Q30" s="22" t="inlineStr">
        <is>
          <t>Strike for PWR+5, ignores DEF.</t>
        </is>
      </c>
      <c r="R30" s="20" t="n">
        <v>2</v>
      </c>
      <c r="S30" s="22" t="inlineStr">
        <is>
          <t>Mark awakened: boosted stats and the special recharges 1 round faster.</t>
        </is>
      </c>
    </row>
    <row r="31" ht="15" customHeight="1" s="16">
      <c r="A31" s="19" t="inlineStr">
        <is>
          <t>Kyojuro Rengoku</t>
        </is>
      </c>
      <c r="B31" s="19" t="inlineStr">
        <is>
          <t>Base</t>
        </is>
      </c>
      <c r="C31" s="19" t="inlineStr">
        <is>
          <t>Slayer</t>
        </is>
      </c>
      <c r="D31" s="19" t="inlineStr">
        <is>
          <t>Flame Hashira</t>
        </is>
      </c>
      <c r="E31" s="20" t="n">
        <v>7</v>
      </c>
      <c r="F31" s="20" t="n">
        <v>34</v>
      </c>
      <c r="G31" s="20" t="n">
        <v>11</v>
      </c>
      <c r="H31" s="20" t="n">
        <v>7</v>
      </c>
      <c r="I31" s="20" t="n">
        <v>5</v>
      </c>
      <c r="J31" s="20" t="n">
        <v>0</v>
      </c>
      <c r="K31" s="21">
        <f>1/F31</f>
        <v/>
      </c>
      <c r="L31" s="21">
        <f>J31/F31</f>
        <v/>
      </c>
      <c r="M31" s="20" t="n">
        <v>1</v>
      </c>
      <c r="N31" s="20" t="n"/>
      <c r="O31" s="21">
        <f>IF(N31="","",N31/F31)</f>
        <v/>
      </c>
      <c r="P31" s="19" t="inlineStr">
        <is>
          <t>Ninth Form: Rengoku</t>
        </is>
      </c>
      <c r="Q31" s="22" t="inlineStr">
        <is>
          <t>Strike for PWR+8.</t>
        </is>
      </c>
      <c r="R31" s="20" t="n">
        <v>3</v>
      </c>
      <c r="S31" s="22" t="n"/>
    </row>
    <row r="32" ht="15" customHeight="1" s="16">
      <c r="A32" s="19" t="inlineStr">
        <is>
          <t>Muichiro Tokito</t>
        </is>
      </c>
      <c r="B32" s="19" t="inlineStr">
        <is>
          <t>Base</t>
        </is>
      </c>
      <c r="C32" s="19" t="inlineStr">
        <is>
          <t>Slayer</t>
        </is>
      </c>
      <c r="D32" s="19" t="inlineStr">
        <is>
          <t>Mist Hashira</t>
        </is>
      </c>
      <c r="E32" s="20" t="n">
        <v>6</v>
      </c>
      <c r="F32" s="20" t="n">
        <v>26</v>
      </c>
      <c r="G32" s="20" t="n">
        <v>10</v>
      </c>
      <c r="H32" s="20" t="n">
        <v>11</v>
      </c>
      <c r="I32" s="20" t="n">
        <v>4</v>
      </c>
      <c r="J32" s="20" t="n">
        <v>0</v>
      </c>
      <c r="K32" s="21">
        <f>1/F32</f>
        <v/>
      </c>
      <c r="L32" s="21">
        <f>J32/F32</f>
        <v/>
      </c>
      <c r="M32" s="20" t="n">
        <v>1</v>
      </c>
      <c r="N32" s="20" t="n"/>
      <c r="O32" s="21">
        <f>IF(N32="","",N32/F32)</f>
        <v/>
      </c>
      <c r="P32" s="19" t="inlineStr">
        <is>
          <t>Obscuring Clouds</t>
        </is>
      </c>
      <c r="Q32" s="22" t="inlineStr">
        <is>
          <t>Moves early. Vanishes into mist (attacks miss him this round) and strikes for PWR+2.</t>
        </is>
      </c>
      <c r="R32" s="20" t="n">
        <v>3</v>
      </c>
      <c r="S32" s="22" t="n"/>
    </row>
    <row r="33" ht="26.85" customHeight="1" s="16">
      <c r="A33" s="19" t="inlineStr">
        <is>
          <t>Sanemi Shinazugawa</t>
        </is>
      </c>
      <c r="B33" s="19" t="inlineStr">
        <is>
          <t>Base</t>
        </is>
      </c>
      <c r="C33" s="19" t="inlineStr">
        <is>
          <t>Slayer</t>
        </is>
      </c>
      <c r="D33" s="19" t="inlineStr">
        <is>
          <t>Wind Hashira</t>
        </is>
      </c>
      <c r="E33" s="20" t="n">
        <v>6</v>
      </c>
      <c r="F33" s="20" t="n">
        <v>34</v>
      </c>
      <c r="G33" s="20" t="n">
        <v>11</v>
      </c>
      <c r="H33" s="20" t="n">
        <v>9</v>
      </c>
      <c r="I33" s="20" t="n">
        <v>5</v>
      </c>
      <c r="J33" s="20" t="n">
        <v>0</v>
      </c>
      <c r="K33" s="21">
        <f>1/F33</f>
        <v/>
      </c>
      <c r="L33" s="21">
        <f>J33/F33</f>
        <v/>
      </c>
      <c r="M33" s="20" t="n">
        <v>1</v>
      </c>
      <c r="N33" s="20" t="n"/>
      <c r="O33" s="21">
        <f>IF(N33="","",N33/F33)</f>
        <v/>
      </c>
      <c r="P33" s="19" t="inlineStr">
        <is>
          <t>Black Wind Mountain Mist</t>
        </is>
      </c>
      <c r="Q33" s="22" t="inlineStr">
        <is>
          <t>Strike your target and one other enemy for PWR.</t>
        </is>
      </c>
      <c r="R33" s="20" t="n">
        <v>3</v>
      </c>
      <c r="S33" s="22" t="n"/>
    </row>
    <row r="34" ht="15" customHeight="1" s="16">
      <c r="A34" s="19" t="inlineStr">
        <is>
          <t>Tengen Uzui</t>
        </is>
      </c>
      <c r="B34" s="19" t="inlineStr">
        <is>
          <t>Base</t>
        </is>
      </c>
      <c r="C34" s="19" t="inlineStr">
        <is>
          <t>Slayer</t>
        </is>
      </c>
      <c r="D34" s="19" t="inlineStr">
        <is>
          <t>Sound Hashira</t>
        </is>
      </c>
      <c r="E34" s="20" t="n">
        <v>6</v>
      </c>
      <c r="F34" s="20" t="n">
        <v>34</v>
      </c>
      <c r="G34" s="20" t="n">
        <v>10</v>
      </c>
      <c r="H34" s="20" t="n">
        <v>8</v>
      </c>
      <c r="I34" s="20" t="n">
        <v>5</v>
      </c>
      <c r="J34" s="20" t="n">
        <v>0</v>
      </c>
      <c r="K34" s="21">
        <f>1/F34</f>
        <v/>
      </c>
      <c r="L34" s="21">
        <f>J34/F34</f>
        <v/>
      </c>
      <c r="M34" s="20" t="n">
        <v>1</v>
      </c>
      <c r="N34" s="20" t="n"/>
      <c r="O34" s="21">
        <f>IF(N34="","",N34/F34)</f>
        <v/>
      </c>
      <c r="P34" s="19" t="inlineStr">
        <is>
          <t>Constant Resounding Slashes</t>
        </is>
      </c>
      <c r="Q34" s="22" t="inlineStr">
        <is>
          <t>Every enemy takes PWR−2.</t>
        </is>
      </c>
      <c r="R34" s="20" t="n">
        <v>3</v>
      </c>
      <c r="S34" s="22" t="n"/>
    </row>
    <row r="35" ht="26.85" customHeight="1" s="16">
      <c r="A35" s="19" t="inlineStr">
        <is>
          <t>Mitsuri Kanroji</t>
        </is>
      </c>
      <c r="B35" s="19" t="inlineStr">
        <is>
          <t>Base</t>
        </is>
      </c>
      <c r="C35" s="19" t="inlineStr">
        <is>
          <t>Slayer</t>
        </is>
      </c>
      <c r="D35" s="19" t="inlineStr">
        <is>
          <t>Love Hashira</t>
        </is>
      </c>
      <c r="E35" s="20" t="n">
        <v>5</v>
      </c>
      <c r="F35" s="20" t="n">
        <v>28</v>
      </c>
      <c r="G35" s="20" t="n">
        <v>9</v>
      </c>
      <c r="H35" s="20" t="n">
        <v>9</v>
      </c>
      <c r="I35" s="20" t="n">
        <v>4</v>
      </c>
      <c r="J35" s="20" t="n">
        <v>0</v>
      </c>
      <c r="K35" s="21">
        <f>1/F35</f>
        <v/>
      </c>
      <c r="L35" s="21">
        <f>J35/F35</f>
        <v/>
      </c>
      <c r="M35" s="20" t="n">
        <v>1</v>
      </c>
      <c r="N35" s="20" t="n"/>
      <c r="O35" s="21">
        <f>IF(N35="","",N35/F35)</f>
        <v/>
      </c>
      <c r="P35" s="19" t="inlineStr">
        <is>
          <t>Catlove Shower</t>
        </is>
      </c>
      <c r="Q35" s="22" t="inlineStr">
        <is>
          <t>Every enemy takes PWR−3.</t>
        </is>
      </c>
      <c r="R35" s="20" t="n">
        <v>3</v>
      </c>
      <c r="S35" s="22" t="n"/>
    </row>
    <row r="36" ht="26.85" customHeight="1" s="16">
      <c r="A36" s="19" t="inlineStr">
        <is>
          <t>Obanai Iguro</t>
        </is>
      </c>
      <c r="B36" s="19" t="inlineStr">
        <is>
          <t>Base</t>
        </is>
      </c>
      <c r="C36" s="19" t="inlineStr">
        <is>
          <t>Slayer</t>
        </is>
      </c>
      <c r="D36" s="19" t="inlineStr">
        <is>
          <t>Serpent Hashira</t>
        </is>
      </c>
      <c r="E36" s="20" t="n">
        <v>5</v>
      </c>
      <c r="F36" s="20" t="n">
        <v>26</v>
      </c>
      <c r="G36" s="20" t="n">
        <v>9</v>
      </c>
      <c r="H36" s="20" t="n">
        <v>10</v>
      </c>
      <c r="I36" s="20" t="n">
        <v>4</v>
      </c>
      <c r="J36" s="20" t="n">
        <v>0</v>
      </c>
      <c r="K36" s="21">
        <f>1/F36</f>
        <v/>
      </c>
      <c r="L36" s="21">
        <f>J36/F36</f>
        <v/>
      </c>
      <c r="M36" s="20" t="n">
        <v>1</v>
      </c>
      <c r="N36" s="20" t="n"/>
      <c r="O36" s="21">
        <f>IF(N36="","",N36/F36)</f>
        <v/>
      </c>
      <c r="P36" s="19" t="inlineStr">
        <is>
          <t>Twin-Headed Reptile</t>
        </is>
      </c>
      <c r="Q36" s="22" t="inlineStr">
        <is>
          <t>Strike for PWR+4. Slips past guards (Defend does nothing).</t>
        </is>
      </c>
      <c r="R36" s="20" t="n">
        <v>3</v>
      </c>
      <c r="S36" s="22" t="n"/>
    </row>
    <row r="37" ht="26.85" customHeight="1" s="16">
      <c r="A37" s="19" t="inlineStr">
        <is>
          <t>Shinobu Kocho</t>
        </is>
      </c>
      <c r="B37" s="19" t="inlineStr">
        <is>
          <t>Base</t>
        </is>
      </c>
      <c r="C37" s="19" t="inlineStr">
        <is>
          <t>Slayer</t>
        </is>
      </c>
      <c r="D37" s="19" t="inlineStr">
        <is>
          <t>Insect Hashira</t>
        </is>
      </c>
      <c r="E37" s="20" t="n">
        <v>5</v>
      </c>
      <c r="F37" s="20" t="n">
        <v>24</v>
      </c>
      <c r="G37" s="20" t="n">
        <v>6</v>
      </c>
      <c r="H37" s="20" t="n">
        <v>10</v>
      </c>
      <c r="I37" s="20" t="n">
        <v>3</v>
      </c>
      <c r="J37" s="20" t="n">
        <v>0</v>
      </c>
      <c r="K37" s="21">
        <f>1/F37</f>
        <v/>
      </c>
      <c r="L37" s="21">
        <f>J37/F37</f>
        <v/>
      </c>
      <c r="M37" s="20" t="n">
        <v>1</v>
      </c>
      <c r="N37" s="20" t="n"/>
      <c r="O37" s="21">
        <f>IF(N37="","",N37/F37)</f>
        <v/>
      </c>
      <c r="P37" s="19" t="inlineStr">
        <is>
          <t>Wisteria Poison</t>
        </is>
      </c>
      <c r="Q37" s="22" t="inlineStr">
        <is>
          <t>Poison a target for 3 rounds: 6/round to demons, 3/round to humans.</t>
        </is>
      </c>
      <c r="R37" s="20" t="n">
        <v>3</v>
      </c>
      <c r="S37" s="22" t="inlineStr">
        <is>
          <t>Wisteria Body: if a demon lands the blow that knocks her out, it devours her and loses 5 HP every round for the rest of the match.</t>
        </is>
      </c>
    </row>
    <row r="38">
      <c r="A38" s="19" t="inlineStr">
        <is>
          <t>Tanjiro Kamado</t>
        </is>
      </c>
      <c r="B38" s="19" t="inlineStr">
        <is>
          <t>Base</t>
        </is>
      </c>
      <c r="C38" s="19" t="inlineStr">
        <is>
          <t>Slayer</t>
        </is>
      </c>
      <c r="D38" s="19" t="inlineStr">
        <is>
          <t>Sun &amp; Water</t>
        </is>
      </c>
      <c r="E38" s="20" t="n">
        <v>5</v>
      </c>
      <c r="F38" s="20" t="n">
        <v>28</v>
      </c>
      <c r="G38" s="20" t="n">
        <v>8</v>
      </c>
      <c r="H38" s="20" t="n">
        <v>7</v>
      </c>
      <c r="I38" s="20" t="n">
        <v>4</v>
      </c>
      <c r="J38" s="20" t="n">
        <v>0</v>
      </c>
      <c r="K38" s="21">
        <f>1/F38</f>
        <v/>
      </c>
      <c r="L38" s="21">
        <f>J38/F38</f>
        <v/>
      </c>
      <c r="M38" s="20" t="n">
        <v>1</v>
      </c>
      <c r="N38" s="20" t="n"/>
      <c r="O38" s="21">
        <f>IF(N38="","",N38/F38)</f>
        <v/>
      </c>
      <c r="P38" s="19" t="inlineStr">
        <is>
          <t>Hinokami Kagura</t>
        </is>
      </c>
      <c r="Q38" s="22" t="inlineStr">
        <is>
          <t>Strike for PWR+5, ignores DEF.</t>
        </is>
      </c>
      <c r="R38" s="20" t="n">
        <v>3</v>
      </c>
      <c r="S38" s="22" t="n"/>
    </row>
    <row r="39" ht="15" customHeight="1" s="16">
      <c r="A39" s="19" t="inlineStr">
        <is>
          <t>Inosuke Hashibira</t>
        </is>
      </c>
      <c r="B39" s="19" t="inlineStr">
        <is>
          <t>Base</t>
        </is>
      </c>
      <c r="C39" s="19" t="inlineStr">
        <is>
          <t>Slayer</t>
        </is>
      </c>
      <c r="D39" s="19" t="inlineStr">
        <is>
          <t>Beast</t>
        </is>
      </c>
      <c r="E39" s="20" t="n">
        <v>4</v>
      </c>
      <c r="F39" s="20" t="n">
        <v>28</v>
      </c>
      <c r="G39" s="20" t="n">
        <v>8</v>
      </c>
      <c r="H39" s="20" t="n">
        <v>8</v>
      </c>
      <c r="I39" s="20" t="n">
        <v>3</v>
      </c>
      <c r="J39" s="20" t="n">
        <v>0</v>
      </c>
      <c r="K39" s="21">
        <f>1/F39</f>
        <v/>
      </c>
      <c r="L39" s="21">
        <f>J39/F39</f>
        <v/>
      </c>
      <c r="M39" s="20" t="n">
        <v>1</v>
      </c>
      <c r="N39" s="20" t="n"/>
      <c r="O39" s="21">
        <f>IF(N39="","",N39/F39)</f>
        <v/>
      </c>
      <c r="P39" s="19" t="inlineStr">
        <is>
          <t>Fang Frenzy</t>
        </is>
      </c>
      <c r="Q39" s="22" t="inlineStr">
        <is>
          <t>Two wild strikes of PWR−1 at random enemies.</t>
        </is>
      </c>
      <c r="R39" s="20" t="n">
        <v>2</v>
      </c>
      <c r="S39" s="22" t="n"/>
    </row>
    <row r="40" ht="15" customHeight="1" s="16">
      <c r="A40" s="19" t="inlineStr">
        <is>
          <t>Kanao Tsuyuri</t>
        </is>
      </c>
      <c r="B40" s="19" t="inlineStr">
        <is>
          <t>Base</t>
        </is>
      </c>
      <c r="C40" s="19" t="inlineStr">
        <is>
          <t>Slayer</t>
        </is>
      </c>
      <c r="D40" s="19" t="inlineStr">
        <is>
          <t>Flower</t>
        </is>
      </c>
      <c r="E40" s="20" t="n">
        <v>4</v>
      </c>
      <c r="F40" s="20" t="n">
        <v>24</v>
      </c>
      <c r="G40" s="20" t="n">
        <v>7</v>
      </c>
      <c r="H40" s="20" t="n">
        <v>10</v>
      </c>
      <c r="I40" s="20" t="n">
        <v>3</v>
      </c>
      <c r="J40" s="20" t="n">
        <v>0</v>
      </c>
      <c r="K40" s="21">
        <f>1/F40</f>
        <v/>
      </c>
      <c r="L40" s="21">
        <f>J40/F40</f>
        <v/>
      </c>
      <c r="M40" s="20" t="n">
        <v>1</v>
      </c>
      <c r="N40" s="20" t="n"/>
      <c r="O40" s="21">
        <f>IF(N40="","",N40/F40)</f>
        <v/>
      </c>
      <c r="P40" s="19" t="inlineStr">
        <is>
          <t>Equinoctial Vermilion Eye</t>
        </is>
      </c>
      <c r="Q40" s="22" t="inlineStr">
        <is>
          <t>Moves early. Strike for PWR+4.</t>
        </is>
      </c>
      <c r="R40" s="20" t="n">
        <v>3</v>
      </c>
      <c r="S40" s="22" t="n"/>
    </row>
    <row r="41" ht="15" customHeight="1" s="16">
      <c r="A41" s="19" t="inlineStr">
        <is>
          <t>Nezuko Kamado</t>
        </is>
      </c>
      <c r="B41" s="19" t="inlineStr">
        <is>
          <t>Base</t>
        </is>
      </c>
      <c r="C41" s="19" t="inlineStr">
        <is>
          <t>Demon ally</t>
        </is>
      </c>
      <c r="D41" s="19" t="inlineStr">
        <is>
          <t>Demon ally</t>
        </is>
      </c>
      <c r="E41" s="20" t="n">
        <v>4</v>
      </c>
      <c r="F41" s="20" t="n">
        <v>24</v>
      </c>
      <c r="G41" s="20" t="n">
        <v>7</v>
      </c>
      <c r="H41" s="20" t="n">
        <v>7</v>
      </c>
      <c r="I41" s="20" t="n">
        <v>3</v>
      </c>
      <c r="J41" s="20" t="n">
        <v>1</v>
      </c>
      <c r="K41" s="21">
        <f>1/F41</f>
        <v/>
      </c>
      <c r="L41" s="21">
        <f>J41/F41</f>
        <v/>
      </c>
      <c r="M41" s="20" t="n">
        <v>1</v>
      </c>
      <c r="N41" s="20" t="n"/>
      <c r="O41" s="21">
        <f>IF(N41="","",N41/F41)</f>
        <v/>
      </c>
      <c r="P41" s="19" t="inlineStr">
        <is>
          <t>Exploding Blood</t>
        </is>
      </c>
      <c r="Q41" s="22" t="inlineStr">
        <is>
          <t>Every enemy takes 5, ignores DEF.</t>
        </is>
      </c>
      <c r="R41" s="20" t="n">
        <v>3</v>
      </c>
      <c r="S41" s="22" t="n"/>
    </row>
    <row r="42" ht="15" customHeight="1" s="16">
      <c r="A42" s="19" t="inlineStr">
        <is>
          <t>Sabito &amp; Makomo</t>
        </is>
      </c>
      <c r="B42" s="19" t="inlineStr">
        <is>
          <t>Base</t>
        </is>
      </c>
      <c r="C42" s="19" t="inlineStr">
        <is>
          <t>Slayer</t>
        </is>
      </c>
      <c r="D42" s="19" t="inlineStr">
        <is>
          <t>Spirits · Urokodaki's students</t>
        </is>
      </c>
      <c r="E42" s="20" t="n">
        <v>4</v>
      </c>
      <c r="F42" s="20" t="n">
        <v>24</v>
      </c>
      <c r="G42" s="20" t="n">
        <v>7</v>
      </c>
      <c r="H42" s="20" t="n">
        <v>10</v>
      </c>
      <c r="I42" s="20" t="n">
        <v>3</v>
      </c>
      <c r="J42" s="20" t="n">
        <v>0</v>
      </c>
      <c r="K42" s="21">
        <f>1/F42</f>
        <v/>
      </c>
      <c r="L42" s="21">
        <f>J42/F42</f>
        <v/>
      </c>
      <c r="M42" s="20" t="n">
        <v>1</v>
      </c>
      <c r="N42" s="20" t="n"/>
      <c r="O42" s="21">
        <f>IF(N42="","",N42/F42)</f>
        <v/>
      </c>
      <c r="P42" s="19" t="inlineStr">
        <is>
          <t>Spirit Training</t>
        </is>
      </c>
      <c r="Q42" s="22" t="inlineStr">
        <is>
          <t>Train an ally (or themselves): +2 PWR for the rest of the match.</t>
        </is>
      </c>
      <c r="R42" s="20" t="n">
        <v>3</v>
      </c>
      <c r="S42" s="22" t="inlineStr">
        <is>
          <t>Urokodaki's students: they get his Mentor bonus too.</t>
        </is>
      </c>
    </row>
    <row r="43">
      <c r="A43" s="19" t="inlineStr">
        <is>
          <t>Sakonji Urokodaki</t>
        </is>
      </c>
      <c r="B43" s="19" t="inlineStr">
        <is>
          <t>Base</t>
        </is>
      </c>
      <c r="C43" s="19" t="inlineStr">
        <is>
          <t>Slayer</t>
        </is>
      </c>
      <c r="D43" s="19" t="inlineStr">
        <is>
          <t>Former Water Hashira</t>
        </is>
      </c>
      <c r="E43" s="20" t="n">
        <v>4</v>
      </c>
      <c r="F43" s="20" t="n">
        <v>26</v>
      </c>
      <c r="G43" s="20" t="n">
        <v>7</v>
      </c>
      <c r="H43" s="20" t="n">
        <v>7</v>
      </c>
      <c r="I43" s="20" t="n">
        <v>4</v>
      </c>
      <c r="J43" s="20" t="n">
        <v>0</v>
      </c>
      <c r="K43" s="21">
        <f>1/F43</f>
        <v/>
      </c>
      <c r="L43" s="21">
        <f>J43/F43</f>
        <v/>
      </c>
      <c r="M43" s="20" t="n">
        <v>1</v>
      </c>
      <c r="N43" s="20" t="n"/>
      <c r="O43" s="21">
        <f>IF(N43="","",N43/F43)</f>
        <v/>
      </c>
      <c r="P43" s="19" t="inlineStr">
        <is>
          <t>Water Wheel</t>
        </is>
      </c>
      <c r="Q43" s="22" t="inlineStr">
        <is>
          <t>Strike for PWR+3.</t>
        </is>
      </c>
      <c r="R43" s="20" t="n">
        <v>2</v>
      </c>
      <c r="S43" s="22" t="inlineStr">
        <is>
          <t>Mentor: Tanjiro, Giyu and Sabito &amp; Makomo on his team get +1 DEF.</t>
        </is>
      </c>
    </row>
    <row r="44">
      <c r="A44" s="19" t="inlineStr">
        <is>
          <t>Tengen Uzui (Retired)</t>
        </is>
      </c>
      <c r="B44" s="19" t="inlineStr">
        <is>
          <t>Retired</t>
        </is>
      </c>
      <c r="C44" s="19" t="inlineStr">
        <is>
          <t>Slayer</t>
        </is>
      </c>
      <c r="D44" s="19" t="inlineStr">
        <is>
          <t>Former Sound Hashira</t>
        </is>
      </c>
      <c r="E44" s="20" t="n">
        <v>4</v>
      </c>
      <c r="F44" s="20" t="n">
        <v>28</v>
      </c>
      <c r="G44" s="20" t="n">
        <v>8</v>
      </c>
      <c r="H44" s="20" t="n">
        <v>7</v>
      </c>
      <c r="I44" s="20" t="n">
        <v>4</v>
      </c>
      <c r="J44" s="20" t="n">
        <v>0</v>
      </c>
      <c r="K44" s="21">
        <f>1/F44</f>
        <v/>
      </c>
      <c r="L44" s="21">
        <f>J44/F44</f>
        <v/>
      </c>
      <c r="M44" s="20" t="n">
        <v>1</v>
      </c>
      <c r="N44" s="20" t="n"/>
      <c r="O44" s="21">
        <f>IF(N44="","",N44/F44)</f>
        <v/>
      </c>
      <c r="P44" s="19" t="inlineStr">
        <is>
          <t>Bodyguard</t>
        </is>
      </c>
      <c r="Q44" s="22" t="inlineStr">
        <is>
          <t>Moves first. Shields an ally (or himself): they count as Defending this round and take half damage.</t>
        </is>
      </c>
      <c r="R44" s="20" t="n">
        <v>2</v>
      </c>
      <c r="S44" s="22" t="inlineStr">
        <is>
          <t>Retired: lost a hand and an eye, so he no longer counts as a Hashira.</t>
        </is>
      </c>
    </row>
    <row r="45">
      <c r="A45" s="19" t="inlineStr">
        <is>
          <t>Zenitsu Agatsuma</t>
        </is>
      </c>
      <c r="B45" s="19" t="inlineStr">
        <is>
          <t>Base</t>
        </is>
      </c>
      <c r="C45" s="19" t="inlineStr">
        <is>
          <t>Slayer</t>
        </is>
      </c>
      <c r="D45" s="19" t="inlineStr">
        <is>
          <t>Thunder</t>
        </is>
      </c>
      <c r="E45" s="20" t="n">
        <v>4</v>
      </c>
      <c r="F45" s="20" t="n">
        <v>22</v>
      </c>
      <c r="G45" s="20" t="n">
        <v>7</v>
      </c>
      <c r="H45" s="20" t="n">
        <v>10</v>
      </c>
      <c r="I45" s="20" t="n">
        <v>2</v>
      </c>
      <c r="J45" s="20" t="n">
        <v>0</v>
      </c>
      <c r="K45" s="21">
        <f>1/F45</f>
        <v/>
      </c>
      <c r="L45" s="21">
        <f>J45/F45</f>
        <v/>
      </c>
      <c r="M45" s="20" t="n">
        <v>1</v>
      </c>
      <c r="N45" s="20" t="n"/>
      <c r="O45" s="21">
        <f>IF(N45="","",N45/F45)</f>
        <v/>
      </c>
      <c r="P45" s="19" t="inlineStr">
        <is>
          <t>Thunderclap and Flash</t>
        </is>
      </c>
      <c r="Q45" s="22" t="inlineStr">
        <is>
          <t>Always moves first. Strike for PWR×2.</t>
        </is>
      </c>
      <c r="R45" s="20" t="n">
        <v>3</v>
      </c>
      <c r="S45" s="22" t="n"/>
    </row>
    <row r="46">
      <c r="A46" s="19" t="inlineStr">
        <is>
          <t>Genya Shinazugawa</t>
        </is>
      </c>
      <c r="B46" s="19" t="inlineStr">
        <is>
          <t>Base</t>
        </is>
      </c>
      <c r="C46" s="19" t="inlineStr">
        <is>
          <t>Slayer</t>
        </is>
      </c>
      <c r="D46" s="19" t="inlineStr">
        <is>
          <t>Demon eater</t>
        </is>
      </c>
      <c r="E46" s="20" t="n">
        <v>3</v>
      </c>
      <c r="F46" s="20" t="n">
        <v>24</v>
      </c>
      <c r="G46" s="20" t="n">
        <v>7</v>
      </c>
      <c r="H46" s="20" t="n">
        <v>6</v>
      </c>
      <c r="I46" s="20" t="n">
        <v>3</v>
      </c>
      <c r="J46" s="20" t="n">
        <v>0</v>
      </c>
      <c r="K46" s="21">
        <f>1/F46</f>
        <v/>
      </c>
      <c r="L46" s="21">
        <f>J46/F46</f>
        <v/>
      </c>
      <c r="M46" s="20" t="n">
        <v>1</v>
      </c>
      <c r="N46" s="20" t="n"/>
      <c r="O46" s="21">
        <f>IF(N46="","",N46/F46)</f>
        <v/>
      </c>
      <c r="P46" s="19" t="inlineStr">
        <is>
          <t>Demon Consumption</t>
        </is>
      </c>
      <c r="Q46" s="22" t="inlineStr">
        <is>
          <t>Heal 8 and gain +2 PWR for the rest of the match.</t>
        </is>
      </c>
      <c r="R46" s="20" t="n">
        <v>3</v>
      </c>
      <c r="S46" s="22" t="n"/>
    </row>
    <row r="47">
      <c r="A47" s="19" t="inlineStr">
        <is>
          <t>Tamayo</t>
        </is>
      </c>
      <c r="B47" s="19" t="inlineStr">
        <is>
          <t>Base</t>
        </is>
      </c>
      <c r="C47" s="19" t="inlineStr">
        <is>
          <t>Demon ally</t>
        </is>
      </c>
      <c r="D47" s="19" t="inlineStr">
        <is>
          <t>Physician · Demon ally</t>
        </is>
      </c>
      <c r="E47" s="20" t="n">
        <v>3</v>
      </c>
      <c r="F47" s="20" t="n">
        <v>22</v>
      </c>
      <c r="G47" s="20" t="n">
        <v>5</v>
      </c>
      <c r="H47" s="20" t="n">
        <v>7</v>
      </c>
      <c r="I47" s="20" t="n">
        <v>3</v>
      </c>
      <c r="J47" s="20" t="n">
        <v>2</v>
      </c>
      <c r="K47" s="21">
        <f>1/F47</f>
        <v/>
      </c>
      <c r="L47" s="21">
        <f>J47/F47</f>
        <v/>
      </c>
      <c r="M47" s="20" t="n">
        <v>1</v>
      </c>
      <c r="N47" s="20" t="n"/>
      <c r="O47" s="21">
        <f>IF(N47="","",N47/F47)</f>
        <v/>
      </c>
      <c r="P47" s="19" t="inlineStr">
        <is>
          <t>Healing Blood Art</t>
        </is>
      </c>
      <c r="Q47" s="22" t="inlineStr">
        <is>
          <t>Heal an ally (or herself) for 10 and cure poison.</t>
        </is>
      </c>
      <c r="R47" s="20" t="n">
        <v>2</v>
      </c>
      <c r="S47" s="22" t="inlineStr">
        <is>
          <t>Anti-Muzan Medicine: an enemy Muzan's regeneration drops by 2.</t>
        </is>
      </c>
    </row>
    <row r="48">
      <c r="A48" s="19" t="inlineStr">
        <is>
          <t>Yushiro</t>
        </is>
      </c>
      <c r="B48" s="19" t="inlineStr">
        <is>
          <t>Base</t>
        </is>
      </c>
      <c r="C48" s="19" t="inlineStr">
        <is>
          <t>Demon ally</t>
        </is>
      </c>
      <c r="D48" s="19" t="inlineStr">
        <is>
          <t>Tamayo's guardian · Demon ally</t>
        </is>
      </c>
      <c r="E48" s="20" t="n">
        <v>3</v>
      </c>
      <c r="F48" s="20" t="n">
        <v>20</v>
      </c>
      <c r="G48" s="20" t="n">
        <v>6</v>
      </c>
      <c r="H48" s="20" t="n">
        <v>9</v>
      </c>
      <c r="I48" s="20" t="n">
        <v>3</v>
      </c>
      <c r="J48" s="20" t="n">
        <v>1</v>
      </c>
      <c r="K48" s="21">
        <f>1/F48</f>
        <v/>
      </c>
      <c r="L48" s="21">
        <f>J48/F48</f>
        <v/>
      </c>
      <c r="M48" s="20" t="n">
        <v>1</v>
      </c>
      <c r="N48" s="20" t="n"/>
      <c r="O48" s="21">
        <f>IF(N48="","",N48/F48)</f>
        <v/>
      </c>
      <c r="P48" s="19" t="inlineStr">
        <is>
          <t>Concealment Talisman</t>
        </is>
      </c>
      <c r="Q48" s="22" t="inlineStr">
        <is>
          <t>Moves first. Hide an ally (or himself): attacks against them miss this round.</t>
        </is>
      </c>
      <c r="R48" s="20" t="n">
        <v>3</v>
      </c>
      <c r="S48" s="22" t="n"/>
    </row>
    <row r="49">
      <c r="A49" s="19" t="inlineStr">
        <is>
          <t>Kagaya Ubuyashiki</t>
        </is>
      </c>
      <c r="B49" s="19" t="inlineStr">
        <is>
          <t>Base</t>
        </is>
      </c>
      <c r="C49" s="19" t="inlineStr">
        <is>
          <t>Slayer</t>
        </is>
      </c>
      <c r="D49" s="19" t="inlineStr">
        <is>
          <t>Corps Master</t>
        </is>
      </c>
      <c r="E49" s="20" t="n">
        <v>2</v>
      </c>
      <c r="F49" s="20" t="n">
        <v>14</v>
      </c>
      <c r="G49" s="20" t="n">
        <v>2</v>
      </c>
      <c r="H49" s="20" t="n">
        <v>5</v>
      </c>
      <c r="I49" s="20" t="n">
        <v>1</v>
      </c>
      <c r="J49" s="20" t="n">
        <v>0</v>
      </c>
      <c r="K49" s="21">
        <f>1/F49</f>
        <v/>
      </c>
      <c r="L49" s="21">
        <f>J49/F49</f>
        <v/>
      </c>
      <c r="M49" s="20" t="n">
        <v>1</v>
      </c>
      <c r="N49" s="20" t="n"/>
      <c r="O49" s="21">
        <f>IF(N49="","",N49/F49)</f>
        <v/>
      </c>
      <c r="P49" s="19" t="inlineStr">
        <is>
          <t>Words of Resolve</t>
        </is>
      </c>
      <c r="Q49" s="22" t="inlineStr">
        <is>
          <t>Every ally, himself included, heals 4.</t>
        </is>
      </c>
      <c r="R49" s="20" t="n">
        <v>3</v>
      </c>
      <c r="S49" s="22" t="inlineStr">
        <is>
          <t>Master of the Corps: every Hashira on his team gets +1 DEF.</t>
        </is>
      </c>
    </row>
    <row r="50">
      <c r="A50" s="19" t="inlineStr">
        <is>
          <t>Murata</t>
        </is>
      </c>
      <c r="B50" s="19" t="inlineStr">
        <is>
          <t>Base</t>
        </is>
      </c>
      <c r="C50" s="19" t="inlineStr">
        <is>
          <t>Slayer</t>
        </is>
      </c>
      <c r="D50" s="19" t="inlineStr">
        <is>
          <t>Water · rank and file</t>
        </is>
      </c>
      <c r="E50" s="20" t="n">
        <v>2</v>
      </c>
      <c r="F50" s="20" t="n">
        <v>10</v>
      </c>
      <c r="G50" s="20" t="n">
        <v>4</v>
      </c>
      <c r="H50" s="20" t="n">
        <v>6</v>
      </c>
      <c r="I50" s="20" t="n">
        <v>2</v>
      </c>
      <c r="J50" s="20" t="n">
        <v>0</v>
      </c>
      <c r="K50" s="21">
        <f>1/F50</f>
        <v/>
      </c>
      <c r="L50" s="21">
        <f>J50/F50</f>
        <v/>
      </c>
      <c r="M50" s="20" t="n">
        <v>1</v>
      </c>
      <c r="N50" s="20" t="n"/>
      <c r="O50" s="21">
        <f>IF(N50="","",N50/F50)</f>
        <v/>
      </c>
      <c r="P50" s="19" t="inlineStr">
        <is>
          <t>Water Surface Slash</t>
        </is>
      </c>
      <c r="Q50" s="22" t="inlineStr">
        <is>
          <t>Strike for PWR+2.</t>
        </is>
      </c>
      <c r="R50" s="20" t="n">
        <v>2</v>
      </c>
      <c r="S50" s="22" t="inlineStr">
        <is>
          <t>Somehow Survives: the first hit that would knock him out leaves him at 1 HP instead.</t>
        </is>
      </c>
    </row>
    <row r="51"/>
    <row r="52">
      <c r="A52" s="24" t="inlineStr">
        <is>
          <t>Notes</t>
        </is>
      </c>
    </row>
    <row r="53">
      <c r="A53" s="25" t="inlineStr">
        <is>
          <t>Blue numbers are the game's current stats (from Squad Draft, Oct 24 2026). Black cells are formulas.</t>
        </is>
      </c>
    </row>
    <row r="54">
      <c r="A54" s="25" t="inlineStr">
        <is>
          <t>"1 HP = % of bar": how much of a fighter's bar one point of damage removes. Smaller = tankier.</t>
        </is>
      </c>
    </row>
    <row r="55">
      <c r="A55" s="25" t="inlineStr">
        <is>
          <t>Pink rows are Mark-awakened versions (+8 HP, +4 PWR, +2 SPD, +1 DEF, special 1 round faster; cost set per character). Gold rows are Legends.</t>
        </is>
      </c>
    </row>
    <row r="56">
      <c r="A56" s="25" t="inlineStr">
        <is>
          <t>Split forms (cost 0) are never drafted: they join Hantengu's team when he or another form falls. Retired Tengen and Final-Form Muzan are second versions (one or the other is dealt).</t>
        </is>
      </c>
    </row>
  </sheetData>
  <autoFilter ref="A1:S50"/>
  <conditionalFormatting sqref="F2:F50">
    <cfRule type="dataBar" priority="1">
      <dataBar minLength="10" maxLength="90" showValue="1">
        <cfvo type="num" val="0"/>
        <cfvo type="max"/>
        <color rgb="FF4FB393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10" customWidth="1" style="15" min="2" max="3"/>
    <col width="14" customWidth="1" style="15" min="4" max="4"/>
    <col width="18" customWidth="1" style="15" min="5" max="5"/>
  </cols>
  <sheetData>
    <row r="1" ht="17.35" customHeight="1" s="16">
      <c r="A1" s="26" t="inlineStr">
        <is>
          <t>HP → Percent converter</t>
        </is>
      </c>
    </row>
    <row r="2" ht="15" customHeight="1" s="16">
      <c r="A2" s="25" t="inlineStr">
        <is>
          <t>Pick a character and type the HP they have left (blue cells). The bar shows what players will see.</t>
        </is>
      </c>
    </row>
    <row r="4" ht="15" customHeight="1" s="16">
      <c r="A4" s="27" t="inlineStr">
        <is>
          <t>Character</t>
        </is>
      </c>
      <c r="B4" s="27" t="inlineStr">
        <is>
          <t>HP left</t>
        </is>
      </c>
      <c r="C4" s="27" t="inlineStr">
        <is>
          <t>Max HP</t>
        </is>
      </c>
      <c r="D4" s="27" t="inlineStr">
        <is>
          <t>Health %</t>
        </is>
      </c>
      <c r="E4" s="27" t="inlineStr">
        <is>
          <t>Shown to player</t>
        </is>
      </c>
    </row>
    <row r="5" ht="15" customHeight="1" s="16">
      <c r="A5" s="28" t="inlineStr">
        <is>
          <t>Tanjiro Kamado</t>
        </is>
      </c>
      <c r="B5" s="28" t="n">
        <v>14</v>
      </c>
      <c r="C5" s="29">
        <f>IF(A5="","",INDEX(Roster!$F$2:$F$50,MATCH(A5,Roster!$A$2:$A$50,0)))</f>
        <v/>
      </c>
      <c r="D5" s="30">
        <f>IF(OR(A5="",B5=""),"",MAX(0,MIN(1,B5/C5)))</f>
        <v/>
      </c>
      <c r="E5" s="29">
        <f>IF(D5="","",ROUND(D5*100,0)&amp;"% Health")</f>
        <v/>
      </c>
    </row>
    <row r="6" ht="15" customHeight="1" s="16">
      <c r="A6" s="28" t="inlineStr">
        <is>
          <t>Yoriichi Tsugikuni</t>
        </is>
      </c>
      <c r="B6" s="28" t="n">
        <v>26</v>
      </c>
      <c r="C6" s="29">
        <f>IF(A6="","",INDEX(Roster!$F$2:$F$50,MATCH(A6,Roster!$A$2:$A$50,0)))</f>
        <v/>
      </c>
      <c r="D6" s="30">
        <f>IF(OR(A6="",B6=""),"",MAX(0,MIN(1,B6/C6)))</f>
        <v/>
      </c>
      <c r="E6" s="29">
        <f>IF(D6="","",ROUND(D6*100,0)&amp;"% Health")</f>
        <v/>
      </c>
    </row>
    <row r="7" ht="15" customHeight="1" s="16">
      <c r="A7" s="28" t="inlineStr">
        <is>
          <t>Muzan Kibutsuji</t>
        </is>
      </c>
      <c r="B7" s="28" t="n">
        <v>12</v>
      </c>
      <c r="C7" s="29">
        <f>IF(A7="","",INDEX(Roster!$F$2:$F$50,MATCH(A7,Roster!$A$2:$A$50,0)))</f>
        <v/>
      </c>
      <c r="D7" s="30">
        <f>IF(OR(A7="",B7=""),"",MAX(0,MIN(1,B7/C7)))</f>
        <v/>
      </c>
      <c r="E7" s="29">
        <f>IF(D7="","",ROUND(D7*100,0)&amp;"% Health")</f>
        <v/>
      </c>
    </row>
    <row r="8" ht="15" customHeight="1" s="16">
      <c r="A8" s="28" t="inlineStr">
        <is>
          <t>Murata</t>
        </is>
      </c>
      <c r="B8" s="28" t="n">
        <v>5</v>
      </c>
      <c r="C8" s="29">
        <f>IF(A8="","",INDEX(Roster!$F$2:$F$50,MATCH(A8,Roster!$A$2:$A$50,0)))</f>
        <v/>
      </c>
      <c r="D8" s="30">
        <f>IF(OR(A8="",B8=""),"",MAX(0,MIN(1,B8/C8)))</f>
        <v/>
      </c>
      <c r="E8" s="29">
        <f>IF(D8="","",ROUND(D8*100,0)&amp;"% Health")</f>
        <v/>
      </c>
    </row>
    <row r="9" ht="15" customHeight="1" s="16">
      <c r="A9" s="28" t="inlineStr">
        <is>
          <t>Gyomei Himejima (Mark)</t>
        </is>
      </c>
      <c r="B9" s="28" t="n">
        <v>30</v>
      </c>
      <c r="C9" s="29">
        <f>IF(A9="","",INDEX(Roster!$F$2:$F$50,MATCH(A9,Roster!$A$2:$A$50,0)))</f>
        <v/>
      </c>
      <c r="D9" s="30">
        <f>IF(OR(A9="",B9=""),"",MAX(0,MIN(1,B9/C9)))</f>
        <v/>
      </c>
      <c r="E9" s="29">
        <f>IF(D9="","",ROUND(D9*100,0)&amp;"% Health")</f>
        <v/>
      </c>
    </row>
    <row r="10" ht="15" customHeight="1" s="16">
      <c r="A10" s="28" t="n"/>
      <c r="B10" s="28" t="n"/>
      <c r="C10" s="29">
        <f>IF(A10="","",INDEX(Roster!$F$2:$F$50,MATCH(A10,Roster!$A$2:$A$50,0)))</f>
        <v/>
      </c>
      <c r="D10" s="30">
        <f>IF(OR(A10="",B10=""),"",MAX(0,MIN(1,B10/C10)))</f>
        <v/>
      </c>
      <c r="E10" s="29">
        <f>IF(D10="","",ROUND(D10*100,0)&amp;"% Health")</f>
        <v/>
      </c>
    </row>
    <row r="11" ht="15" customHeight="1" s="16">
      <c r="A11" s="28" t="n"/>
      <c r="B11" s="28" t="n"/>
      <c r="C11" s="29">
        <f>IF(A11="","",INDEX(Roster!$F$2:$F$50,MATCH(A11,Roster!$A$2:$A$50,0)))</f>
        <v/>
      </c>
      <c r="D11" s="30">
        <f>IF(OR(A11="",B11=""),"",MAX(0,MIN(1,B11/C11)))</f>
        <v/>
      </c>
      <c r="E11" s="29">
        <f>IF(D11="","",ROUND(D11*100,0)&amp;"% Health")</f>
        <v/>
      </c>
    </row>
    <row r="12" ht="15" customHeight="1" s="16">
      <c r="A12" s="28" t="n"/>
      <c r="B12" s="28" t="n"/>
      <c r="C12" s="29">
        <f>IF(A12="","",INDEX(Roster!$F$2:$F$50,MATCH(A12,Roster!$A$2:$A$50,0)))</f>
        <v/>
      </c>
      <c r="D12" s="30">
        <f>IF(OR(A12="",B12=""),"",MAX(0,MIN(1,B12/C12)))</f>
        <v/>
      </c>
      <c r="E12" s="29">
        <f>IF(D12="","",ROUND(D12*100,0)&amp;"% Health")</f>
        <v/>
      </c>
    </row>
    <row r="13" ht="15" customHeight="1" s="16">
      <c r="A13" s="28" t="n"/>
      <c r="B13" s="28" t="n"/>
      <c r="C13" s="29">
        <f>IF(A13="","",INDEX(Roster!$F$2:$F$50,MATCH(A13,Roster!$A$2:$A$50,0)))</f>
        <v/>
      </c>
      <c r="D13" s="30">
        <f>IF(OR(A13="",B13=""),"",MAX(0,MIN(1,B13/C13)))</f>
        <v/>
      </c>
      <c r="E13" s="29">
        <f>IF(D13="","",ROUND(D13*100,0)&amp;"% Health")</f>
        <v/>
      </c>
    </row>
    <row r="14" ht="15" customHeight="1" s="16">
      <c r="A14" s="28" t="n"/>
      <c r="B14" s="28" t="n"/>
      <c r="C14" s="29">
        <f>IF(A14="","",INDEX(Roster!$F$2:$F$50,MATCH(A14,Roster!$A$2:$A$50,0)))</f>
        <v/>
      </c>
      <c r="D14" s="30">
        <f>IF(OR(A14="",B14=""),"",MAX(0,MIN(1,B14/C14)))</f>
        <v/>
      </c>
      <c r="E14" s="29">
        <f>IF(D14="","",ROUND(D14*100,0)&amp;"% Health")</f>
        <v/>
      </c>
    </row>
    <row r="16" ht="15" customHeight="1" s="16">
      <c r="A16" s="25" t="inlineStr">
        <is>
          <t>Rule for the UI: Health % = HP left ÷ Max HP, rounded to the nearest whole percent. Show red at 25% or less.</t>
        </is>
      </c>
    </row>
  </sheetData>
  <conditionalFormatting sqref="D5:D14">
    <cfRule type="dataBar" priority="2">
      <dataBar minLength="10" maxLength="90" showValue="1">
        <cfvo type="num" val="0"/>
        <cfvo type="num" val="1"/>
        <color rgb="FF4FB393"/>
      </dataBar>
    </cfRule>
    <cfRule type="expression" rank="0" priority="3" equalAverage="0" aboveAverage="0" dxfId="6" text="" percent="0" bottom="0">
      <formula>AND(D5&lt;&gt;"",D5&lt;=0.25)</formula>
    </cfRule>
  </conditionalFormatting>
  <dataValidations count="1">
    <dataValidation sqref="A5:A14" showDropDown="0" showInputMessage="0" showErrorMessage="0" allowBlank="1" type="list" errorStyle="stop" operator="between">
      <formula1>Roster!$A$2:$A$50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2026-10-24T18:36:16Z</dcterms:created>
  <dcterms:modified xsi:type="dcterms:W3CDTF">2026-10-25T04:53:18Z</dcterms:modified>
  <cp:revision>0</cp:revision>
</cp:coreProperties>
</file>