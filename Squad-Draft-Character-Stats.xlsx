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 (Final Form)</t>
        </is>
      </c>
      <c r="B4" s="19" t="inlineStr">
        <is>
          <t>Final Form</t>
        </is>
      </c>
      <c r="C4" s="19" t="inlineStr">
        <is>
          <t>Demon</t>
        </is>
      </c>
      <c r="D4" s="19" t="inlineStr">
        <is>
          <t>Demon King · Final Form</t>
        </is>
      </c>
      <c r="E4" s="20" t="n">
        <v>18</v>
      </c>
      <c r="F4" s="20" t="n">
        <v>52</v>
      </c>
      <c r="G4" s="20" t="n">
        <v>17</v>
      </c>
      <c r="H4" s="20" t="n">
        <v>11</v>
      </c>
      <c r="I4" s="20" t="n">
        <v>8</v>
      </c>
      <c r="J4" s="20" t="n">
        <v>5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Thorned Flesh Whips</t>
        </is>
      </c>
      <c r="Q4" s="22" t="inlineStr">
        <is>
          <t>Every enemy takes PWR−6, ignores DEF, and he heals 3 for each enemy hit.</t>
        </is>
      </c>
      <c r="R4" s="20" t="n">
        <v>3</v>
      </c>
      <c r="S4" s="22" t="inlineStr">
        <is>
          <t>Seven Hearts: the first time he falls, he gets back up with 20% health.</t>
        </is>
      </c>
    </row>
    <row r="5" ht="26.85" customHeight="1" s="16">
      <c r="A5" s="19" t="inlineStr">
        <is>
          <t>Muzan Kibutsuji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Demon King</t>
        </is>
      </c>
      <c r="E5" s="20" t="n">
        <v>16</v>
      </c>
      <c r="F5" s="20" t="n">
        <v>54</v>
      </c>
      <c r="G5" s="20" t="n">
        <v>17</v>
      </c>
      <c r="H5" s="20" t="n">
        <v>11</v>
      </c>
      <c r="I5" s="20" t="n">
        <v>8</v>
      </c>
      <c r="J5" s="20" t="n">
        <v>4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Blood Whips</t>
        </is>
      </c>
      <c r="Q5" s="22" t="inlineStr">
        <is>
          <t>Every enemy takes PWR−7, ignores DEF, and Muzan heals 2 for each enemy hit.</t>
        </is>
      </c>
      <c r="R5" s="20" t="n">
        <v>3</v>
      </c>
      <c r="S5" s="22" t="n"/>
    </row>
    <row r="6" ht="15" customHeight="1" s="16">
      <c r="A6" s="19" t="inlineStr">
        <is>
          <t>Kokushibo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1</t>
        </is>
      </c>
      <c r="E6" s="20" t="n">
        <v>15</v>
      </c>
      <c r="F6" s="20" t="n">
        <v>50</v>
      </c>
      <c r="G6" s="20" t="n">
        <v>17</v>
      </c>
      <c r="H6" s="20" t="n">
        <v>11</v>
      </c>
      <c r="I6" s="20" t="n">
        <v>8</v>
      </c>
      <c r="J6" s="20" t="n">
        <v>3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Moon Breathing</t>
        </is>
      </c>
      <c r="Q6" s="22" t="inlineStr">
        <is>
          <t>Every enemy takes PWR−4, ignores DEF.</t>
        </is>
      </c>
      <c r="R6" s="20" t="n">
        <v>3</v>
      </c>
      <c r="S6" s="22" t="n"/>
    </row>
    <row r="7" ht="15" customHeight="1" s="16">
      <c r="A7" s="19" t="inlineStr">
        <is>
          <t>Doma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2</t>
        </is>
      </c>
      <c r="E7" s="20" t="n">
        <v>11</v>
      </c>
      <c r="F7" s="20" t="n">
        <v>44</v>
      </c>
      <c r="G7" s="20" t="n">
        <v>14</v>
      </c>
      <c r="H7" s="20" t="n">
        <v>11</v>
      </c>
      <c r="I7" s="20" t="n">
        <v>6</v>
      </c>
      <c r="J7" s="20" t="n">
        <v>3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Frozen Lotus</t>
        </is>
      </c>
      <c r="Q7" s="22" t="inlineStr">
        <is>
          <t>Every enemy takes PWR−4, ignores DEF.</t>
        </is>
      </c>
      <c r="R7" s="20" t="n">
        <v>3</v>
      </c>
      <c r="S7" s="22" t="n"/>
    </row>
    <row r="8" ht="26.85" customHeight="1" s="16">
      <c r="A8" s="19" t="inlineStr">
        <is>
          <t>Akaza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3</t>
        </is>
      </c>
      <c r="E8" s="20" t="n">
        <v>9</v>
      </c>
      <c r="F8" s="20" t="n">
        <v>40</v>
      </c>
      <c r="G8" s="20" t="n">
        <v>13</v>
      </c>
      <c r="H8" s="20" t="n">
        <v>10</v>
      </c>
      <c r="I8" s="20" t="n">
        <v>5</v>
      </c>
      <c r="J8" s="20" t="n">
        <v>2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Destructive Death</t>
        </is>
      </c>
      <c r="Q8" s="22" t="inlineStr">
        <is>
          <t>Strike for PWR+6.</t>
        </is>
      </c>
      <c r="R8" s="20" t="n">
        <v>3</v>
      </c>
      <c r="S8" s="22" t="n"/>
    </row>
    <row r="9" ht="15" customHeight="1" s="16">
      <c r="A9" s="19" t="inlineStr">
        <is>
          <t>Hantengu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4</t>
        </is>
      </c>
      <c r="E9" s="20" t="n">
        <v>9</v>
      </c>
      <c r="F9" s="20" t="n">
        <v>20</v>
      </c>
      <c r="G9" s="20" t="n">
        <v>8</v>
      </c>
      <c r="H9" s="20" t="n">
        <v>9</v>
      </c>
      <c r="I9" s="20" t="n">
        <v>4</v>
      </c>
      <c r="J9" s="20" t="n">
        <v>1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Cowering Hide</t>
        </is>
      </c>
      <c r="Q9" s="22" t="inlineStr">
        <is>
          <t>Moves first. Hides: attacks miss him this round, and he heals 6.</t>
        </is>
      </c>
      <c r="R9" s="20" t="n">
        <v>3</v>
      </c>
      <c r="S9" s="22" t="inlineStr">
        <is>
          <t>Splitting Emotions: when Hantengu falls he splits into Sekido and Karaku. When Sekido falls, Aizetsu takes his place; when Karaku falls, Urogi does. Beat all five to win.</t>
        </is>
      </c>
    </row>
    <row r="10" ht="15" customHeight="1" s="16">
      <c r="A10" s="19" t="inlineStr">
        <is>
          <t>Gyokko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5</t>
        </is>
      </c>
      <c r="E10" s="20" t="n">
        <v>6</v>
      </c>
      <c r="F10" s="20" t="n">
        <v>32</v>
      </c>
      <c r="G10" s="20" t="n">
        <v>10</v>
      </c>
      <c r="H10" s="20" t="n">
        <v>8</v>
      </c>
      <c r="I10" s="20" t="n">
        <v>4</v>
      </c>
      <c r="J10" s="20" t="n">
        <v>2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Water Prison Pot</t>
        </is>
      </c>
      <c r="Q10" s="22" t="inlineStr">
        <is>
          <t>Traps one enemy: it takes PWR−2 (ignores DEF) and can't act next round.</t>
        </is>
      </c>
      <c r="R10" s="20" t="n">
        <v>3</v>
      </c>
      <c r="S10" s="22" t="n"/>
    </row>
    <row r="11" ht="26.85" customHeight="1" s="16">
      <c r="A11" s="19" t="inlineStr">
        <is>
          <t>Gyutaro &amp; Daki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Upper Moon 6</t>
        </is>
      </c>
      <c r="E11" s="20" t="n">
        <v>6</v>
      </c>
      <c r="F11" s="20" t="n">
        <v>30</v>
      </c>
      <c r="G11" s="20" t="n">
        <v>9</v>
      </c>
      <c r="H11" s="20" t="n">
        <v>8</v>
      </c>
      <c r="I11" s="20" t="n">
        <v>4</v>
      </c>
      <c r="J11" s="20" t="n">
        <v>2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Flying Blood Sickles</t>
        </is>
      </c>
      <c r="Q11" s="22" t="inlineStr">
        <is>
          <t>Every enemy takes 4 and is poisoned 2/round for 2 rounds.</t>
        </is>
      </c>
      <c r="R11" s="20" t="n">
        <v>3</v>
      </c>
      <c r="S11" s="22" t="n"/>
    </row>
    <row r="12" ht="15" customHeight="1" s="16">
      <c r="A12" s="19" t="inlineStr">
        <is>
          <t>Kaigaku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Upper Moon 6 · fallen Thunder</t>
        </is>
      </c>
      <c r="E12" s="20" t="n">
        <v>5</v>
      </c>
      <c r="F12" s="20" t="n">
        <v>26</v>
      </c>
      <c r="G12" s="20" t="n">
        <v>9</v>
      </c>
      <c r="H12" s="20" t="n">
        <v>10</v>
      </c>
      <c r="I12" s="20" t="n">
        <v>3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Black Thunder</t>
        </is>
      </c>
      <c r="Q12" s="22" t="inlineStr">
        <is>
          <t>Strike for PWR+3, and a second random enemy takes 4.</t>
        </is>
      </c>
      <c r="R12" s="20" t="n">
        <v>3</v>
      </c>
      <c r="S12" s="22" t="inlineStr">
        <is>
          <t>Rival: an enemy Zenitsu gets +2 PWR against him.</t>
        </is>
      </c>
    </row>
    <row r="13" ht="26.85" customHeight="1" s="16">
      <c r="A13" s="19" t="inlineStr">
        <is>
          <t>Enmu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Lower Moon 1</t>
        </is>
      </c>
      <c r="E13" s="20" t="n">
        <v>4</v>
      </c>
      <c r="F13" s="20" t="n">
        <v>28</v>
      </c>
      <c r="G13" s="20" t="n">
        <v>8</v>
      </c>
      <c r="H13" s="20" t="n">
        <v>8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Forced Sleep</t>
        </is>
      </c>
      <c r="Q13" s="22" t="inlineStr">
        <is>
          <t>Every enemy has to wait 2 more rounds for their special.</t>
        </is>
      </c>
      <c r="R13" s="20" t="n">
        <v>3</v>
      </c>
      <c r="S13" s="22" t="n"/>
    </row>
    <row r="14" ht="26.85" customHeight="1" s="16">
      <c r="A14" s="19" t="inlineStr">
        <is>
          <t>Rui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Lower Moon 5</t>
        </is>
      </c>
      <c r="E14" s="20" t="n">
        <v>4</v>
      </c>
      <c r="F14" s="20" t="n">
        <v>24</v>
      </c>
      <c r="G14" s="20" t="n">
        <v>7</v>
      </c>
      <c r="H14" s="20" t="n">
        <v>7</v>
      </c>
      <c r="I14" s="20" t="n">
        <v>4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Cutting Thread Cage</t>
        </is>
      </c>
      <c r="Q14" s="22" t="inlineStr">
        <is>
          <t>Strike for PWR and stun the target next round.</t>
        </is>
      </c>
      <c r="R14" s="20" t="n">
        <v>3</v>
      </c>
      <c r="S14" s="22" t="n"/>
    </row>
    <row r="15" ht="26.85" customHeight="1" s="16">
      <c r="A15" s="19" t="inlineStr">
        <is>
          <t>Kyogai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Former Lower Moon</t>
        </is>
      </c>
      <c r="E15" s="20" t="n">
        <v>3</v>
      </c>
      <c r="F15" s="20" t="n">
        <v>22</v>
      </c>
      <c r="G15" s="20" t="n">
        <v>6</v>
      </c>
      <c r="H15" s="20" t="n">
        <v>6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Drum Room Spin</t>
        </is>
      </c>
      <c r="Q15" s="22" t="inlineStr">
        <is>
          <t>Flip the room. The target is stunned next round.</t>
        </is>
      </c>
      <c r="R15" s="20" t="n">
        <v>4</v>
      </c>
      <c r="S15" s="22" t="n"/>
    </row>
    <row r="16" ht="26.85" customHeight="1" s="16">
      <c r="A16" s="19" t="inlineStr">
        <is>
          <t>Swamp Demon</t>
        </is>
      </c>
      <c r="B16" s="19" t="inlineStr">
        <is>
          <t>Base</t>
        </is>
      </c>
      <c r="C16" s="19" t="inlineStr">
        <is>
          <t>Demon</t>
        </is>
      </c>
      <c r="D16" s="19" t="inlineStr">
        <is>
          <t>Lesser demon</t>
        </is>
      </c>
      <c r="E16" s="20" t="n">
        <v>3</v>
      </c>
      <c r="F16" s="20" t="n">
        <v>16</v>
      </c>
      <c r="G16" s="20" t="n">
        <v>5</v>
      </c>
      <c r="H16" s="20" t="n">
        <v>8</v>
      </c>
      <c r="I16" s="20" t="n">
        <v>2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Swamp Dive</t>
        </is>
      </c>
      <c r="Q16" s="22" t="inlineStr">
        <is>
          <t>Moves early. Sinks out of reach this round and strikes for PWR+1.</t>
        </is>
      </c>
      <c r="R16" s="20" t="n">
        <v>2</v>
      </c>
      <c r="S16" s="22" t="n"/>
    </row>
    <row r="17" ht="26.85" customHeight="1" s="16">
      <c r="A17" s="19" t="inlineStr">
        <is>
          <t>Hand Demon</t>
        </is>
      </c>
      <c r="B17" s="19" t="inlineStr">
        <is>
          <t>Base</t>
        </is>
      </c>
      <c r="C17" s="19" t="inlineStr">
        <is>
          <t>Demon</t>
        </is>
      </c>
      <c r="D17" s="19" t="inlineStr">
        <is>
          <t>Final Selection</t>
        </is>
      </c>
      <c r="E17" s="20" t="n">
        <v>2</v>
      </c>
      <c r="F17" s="20" t="n">
        <v>16</v>
      </c>
      <c r="G17" s="20" t="n">
        <v>5</v>
      </c>
      <c r="H17" s="20" t="n">
        <v>4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Grasping Arms</t>
        </is>
      </c>
      <c r="Q17" s="22" t="inlineStr">
        <is>
          <t>Strike for PWR+3.</t>
        </is>
      </c>
      <c r="R17" s="20" t="n">
        <v>2</v>
      </c>
      <c r="S17" s="22" t="n"/>
    </row>
    <row r="18" ht="26.85" customHeight="1" s="16">
      <c r="A18" s="19" t="inlineStr">
        <is>
          <t>Sekido (Anger)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Anger</t>
        </is>
      </c>
      <c r="E18" s="20" t="n">
        <v>0</v>
      </c>
      <c r="F18" s="20" t="n">
        <v>14</v>
      </c>
      <c r="G18" s="20" t="n">
        <v>7</v>
      </c>
      <c r="H18" s="20" t="n">
        <v>8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Lightning Staff</t>
        </is>
      </c>
      <c r="Q18" s="22" t="inlineStr">
        <is>
          <t>Every enemy takes 4, ignores DEF.</t>
        </is>
      </c>
      <c r="R18" s="20" t="n">
        <v>3</v>
      </c>
      <c r="S18" s="22" t="inlineStr">
        <is>
          <t>Appears when Hantengu falls. Not drafted.</t>
        </is>
      </c>
    </row>
    <row r="19" ht="15" customHeight="1" s="16">
      <c r="A19" s="19" t="inlineStr">
        <is>
          <t>Karaku (Joy)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Joy</t>
        </is>
      </c>
      <c r="E19" s="20" t="n">
        <v>0</v>
      </c>
      <c r="F19" s="20" t="n">
        <v>14</v>
      </c>
      <c r="G19" s="20" t="n">
        <v>7</v>
      </c>
      <c r="H19" s="20" t="n">
        <v>10</v>
      </c>
      <c r="I19" s="20" t="n">
        <v>3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Gale Fan</t>
        </is>
      </c>
      <c r="Q19" s="22" t="inlineStr">
        <is>
          <t>Strike for PWR+3.</t>
        </is>
      </c>
      <c r="R19" s="20" t="n">
        <v>2</v>
      </c>
      <c r="S19" s="22" t="inlineStr">
        <is>
          <t>Appears when Hantengu falls. Not drafted.</t>
        </is>
      </c>
    </row>
    <row r="20" ht="26.85" customHeight="1" s="16">
      <c r="A20" s="19" t="inlineStr">
        <is>
          <t>Aizetsu (Sorrow)</t>
        </is>
      </c>
      <c r="B20" s="19" t="inlineStr">
        <is>
          <t>Split form</t>
        </is>
      </c>
      <c r="C20" s="19" t="inlineStr">
        <is>
          <t>Demon</t>
        </is>
      </c>
      <c r="D20" s="19" t="inlineStr">
        <is>
          <t>Hantengu split · Sorrow</t>
        </is>
      </c>
      <c r="E20" s="20" t="n">
        <v>0</v>
      </c>
      <c r="F20" s="20" t="n">
        <v>10</v>
      </c>
      <c r="G20" s="20" t="n">
        <v>7</v>
      </c>
      <c r="H20" s="20" t="n">
        <v>9</v>
      </c>
      <c r="I20" s="20" t="n">
        <v>3</v>
      </c>
      <c r="J20" s="20" t="n">
        <v>1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Cross Spear</t>
        </is>
      </c>
      <c r="Q20" s="22" t="inlineStr">
        <is>
          <t>Strike for PWR+4.</t>
        </is>
      </c>
      <c r="R20" s="20" t="n">
        <v>3</v>
      </c>
      <c r="S20" s="22" t="inlineStr">
        <is>
          <t>Appears when Sekido falls. Not drafted.</t>
        </is>
      </c>
    </row>
    <row r="21" ht="26.85" customHeight="1" s="16">
      <c r="A21" s="19" t="inlineStr">
        <is>
          <t>Urogi (Pleasure)</t>
        </is>
      </c>
      <c r="B21" s="19" t="inlineStr">
        <is>
          <t>Split form</t>
        </is>
      </c>
      <c r="C21" s="19" t="inlineStr">
        <is>
          <t>Demon</t>
        </is>
      </c>
      <c r="D21" s="19" t="inlineStr">
        <is>
          <t>Hantengu split · Pleasure</t>
        </is>
      </c>
      <c r="E21" s="20" t="n">
        <v>0</v>
      </c>
      <c r="F21" s="20" t="n">
        <v>10</v>
      </c>
      <c r="G21" s="20" t="n">
        <v>6</v>
      </c>
      <c r="H21" s="20" t="n">
        <v>11</v>
      </c>
      <c r="I21" s="20" t="n">
        <v>2</v>
      </c>
      <c r="J21" s="20" t="n">
        <v>1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Sky Dive</t>
        </is>
      </c>
      <c r="Q21" s="22" t="inlineStr">
        <is>
          <t>Moves early. Swoops down for PWR+2.</t>
        </is>
      </c>
      <c r="R21" s="20" t="n">
        <v>2</v>
      </c>
      <c r="S21" s="22" t="inlineStr">
        <is>
          <t>Appears when Karaku falls. Not drafted.</t>
        </is>
      </c>
    </row>
    <row r="22" ht="26.85" customHeight="1" s="16">
      <c r="A22" s="23" t="inlineStr">
        <is>
          <t>Gyomei Himejima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Stone Hashira</t>
        </is>
      </c>
      <c r="E22" s="20" t="n">
        <v>12</v>
      </c>
      <c r="F22" s="20" t="n">
        <v>50</v>
      </c>
      <c r="G22" s="20" t="n">
        <v>17</v>
      </c>
      <c r="H22" s="20" t="n">
        <v>9</v>
      </c>
      <c r="I22" s="20" t="n">
        <v>8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Volcanic Rock</t>
        </is>
      </c>
      <c r="Q22" s="22" t="inlineStr">
        <is>
          <t>Every enemy takes PWR−3.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Giyu Tomioka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Water Hashira</t>
        </is>
      </c>
      <c r="E23" s="20" t="n">
        <v>10</v>
      </c>
      <c r="F23" s="20" t="n">
        <v>40</v>
      </c>
      <c r="G23" s="20" t="n">
        <v>14</v>
      </c>
      <c r="H23" s="20" t="n">
        <v>10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Dead Calm</t>
        </is>
      </c>
      <c r="Q23" s="22" t="inlineStr">
        <is>
          <t>Moves first. Your whole team takes no damage this round.</t>
        </is>
      </c>
      <c r="R23" s="20" t="n">
        <v>3</v>
      </c>
      <c r="S23" s="22" t="inlineStr">
        <is>
          <t>Mark awakened: boosted stats and the special recharges 1 round faster.</t>
        </is>
      </c>
    </row>
    <row r="24" ht="15" customHeight="1" s="16">
      <c r="A24" s="23" t="inlineStr">
        <is>
          <t>Muichiro Tokito (Mark)</t>
        </is>
      </c>
      <c r="B24" s="23" t="inlineStr">
        <is>
          <t>Mark</t>
        </is>
      </c>
      <c r="C24" s="19" t="inlineStr">
        <is>
          <t>Slayer</t>
        </is>
      </c>
      <c r="D24" s="19" t="inlineStr">
        <is>
          <t>Mist Hashira</t>
        </is>
      </c>
      <c r="E24" s="20" t="n">
        <v>10</v>
      </c>
      <c r="F24" s="20" t="n">
        <v>34</v>
      </c>
      <c r="G24" s="20" t="n">
        <v>14</v>
      </c>
      <c r="H24" s="20" t="n">
        <v>13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Obscuring Clouds</t>
        </is>
      </c>
      <c r="Q24" s="22" t="inlineStr">
        <is>
          <t>Moves early. Vanishes into mist (attacks miss him this round) and strikes for PWR+2.</t>
        </is>
      </c>
      <c r="R24" s="20" t="n">
        <v>2</v>
      </c>
      <c r="S24" s="22" t="inlineStr">
        <is>
          <t>Mark awakened: boosted stats and the special recharges 1 round faster.</t>
        </is>
      </c>
    </row>
    <row r="25" ht="15" customHeight="1" s="16">
      <c r="A25" s="23" t="inlineStr">
        <is>
          <t>Sanemi Shinazugawa (Mark)</t>
        </is>
      </c>
      <c r="B25" s="23" t="inlineStr">
        <is>
          <t>Mark</t>
        </is>
      </c>
      <c r="C25" s="19" t="inlineStr">
        <is>
          <t>Slayer</t>
        </is>
      </c>
      <c r="D25" s="19" t="inlineStr">
        <is>
          <t>Wind Hashira</t>
        </is>
      </c>
      <c r="E25" s="20" t="n">
        <v>10</v>
      </c>
      <c r="F25" s="20" t="n">
        <v>42</v>
      </c>
      <c r="G25" s="20" t="n">
        <v>15</v>
      </c>
      <c r="H25" s="20" t="n">
        <v>11</v>
      </c>
      <c r="I25" s="20" t="n">
        <v>6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Black Wind Mountain Mist</t>
        </is>
      </c>
      <c r="Q25" s="22" t="inlineStr">
        <is>
          <t>Strike your target and one other enemy for PWR.</t>
        </is>
      </c>
      <c r="R25" s="20" t="n">
        <v>2</v>
      </c>
      <c r="S25" s="22" t="inlineStr">
        <is>
          <t>Mark awakened: boosted stats and the special recharges 1 round faster.</t>
        </is>
      </c>
    </row>
    <row r="26" ht="15" customHeight="1" s="16">
      <c r="A26" s="19" t="inlineStr">
        <is>
          <t>Giyu Tomioka</t>
        </is>
      </c>
      <c r="B26" s="19" t="inlineStr">
        <is>
          <t>Base</t>
        </is>
      </c>
      <c r="C26" s="19" t="inlineStr">
        <is>
          <t>Slayer</t>
        </is>
      </c>
      <c r="D26" s="19" t="inlineStr">
        <is>
          <t>Water Hashira</t>
        </is>
      </c>
      <c r="E26" s="20" t="n">
        <v>8</v>
      </c>
      <c r="F26" s="20" t="n">
        <v>32</v>
      </c>
      <c r="G26" s="20" t="n">
        <v>10</v>
      </c>
      <c r="H26" s="20" t="n">
        <v>8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Dead Calm</t>
        </is>
      </c>
      <c r="Q26" s="22" t="inlineStr">
        <is>
          <t>Moves first. Your whole team takes no damage this round.</t>
        </is>
      </c>
      <c r="R26" s="20" t="n">
        <v>4</v>
      </c>
      <c r="S26" s="22" t="n"/>
    </row>
    <row r="27" ht="26.85" customHeight="1" s="16">
      <c r="A27" s="19" t="inlineStr">
        <is>
          <t>Gyomei Himejima</t>
        </is>
      </c>
      <c r="B27" s="19" t="inlineStr">
        <is>
          <t>Base</t>
        </is>
      </c>
      <c r="C27" s="19" t="inlineStr">
        <is>
          <t>Slayer</t>
        </is>
      </c>
      <c r="D27" s="19" t="inlineStr">
        <is>
          <t>Stone Hashira</t>
        </is>
      </c>
      <c r="E27" s="20" t="n">
        <v>8</v>
      </c>
      <c r="F27" s="20" t="n">
        <v>42</v>
      </c>
      <c r="G27" s="20" t="n">
        <v>13</v>
      </c>
      <c r="H27" s="20" t="n">
        <v>7</v>
      </c>
      <c r="I27" s="20" t="n">
        <v>7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Volcanic Rock</t>
        </is>
      </c>
      <c r="Q27" s="22" t="inlineStr">
        <is>
          <t>Every enemy takes PWR−3.</t>
        </is>
      </c>
      <c r="R27" s="20" t="n">
        <v>3</v>
      </c>
      <c r="S27" s="22" t="n"/>
    </row>
    <row r="28" ht="39.55" customHeight="1" s="16">
      <c r="A28" s="23" t="inlineStr">
        <is>
          <t>Mitsuri Kanroji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Love Hashira</t>
        </is>
      </c>
      <c r="E28" s="20" t="n">
        <v>8</v>
      </c>
      <c r="F28" s="20" t="n">
        <v>36</v>
      </c>
      <c r="G28" s="20" t="n">
        <v>13</v>
      </c>
      <c r="H28" s="20" t="n">
        <v>11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Catlove Shower</t>
        </is>
      </c>
      <c r="Q28" s="22" t="inlineStr">
        <is>
          <t>Every enemy takes PWR−3.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23" t="inlineStr">
        <is>
          <t>Obanai Iguro (Mark)</t>
        </is>
      </c>
      <c r="B29" s="23" t="inlineStr">
        <is>
          <t>Mark</t>
        </is>
      </c>
      <c r="C29" s="19" t="inlineStr">
        <is>
          <t>Slayer</t>
        </is>
      </c>
      <c r="D29" s="19" t="inlineStr">
        <is>
          <t>Serpent Hashira</t>
        </is>
      </c>
      <c r="E29" s="20" t="n">
        <v>8</v>
      </c>
      <c r="F29" s="20" t="n">
        <v>34</v>
      </c>
      <c r="G29" s="20" t="n">
        <v>13</v>
      </c>
      <c r="H29" s="20" t="n">
        <v>12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Twin-Headed Reptile</t>
        </is>
      </c>
      <c r="Q29" s="22" t="inlineStr">
        <is>
          <t>Strike for PWR+4. Slips past guards (Defend does nothing).</t>
        </is>
      </c>
      <c r="R29" s="20" t="n">
        <v>2</v>
      </c>
      <c r="S29" s="22" t="inlineStr">
        <is>
          <t>Mark awakened: boosted stats and the special recharges 1 round faster.</t>
        </is>
      </c>
    </row>
    <row r="30" ht="15" customHeight="1" s="16">
      <c r="A30" s="23" t="inlineStr">
        <is>
          <t>Tanjiro Kamado (Mark)</t>
        </is>
      </c>
      <c r="B30" s="23" t="inlineStr">
        <is>
          <t>Mark</t>
        </is>
      </c>
      <c r="C30" s="19" t="inlineStr">
        <is>
          <t>Slayer</t>
        </is>
      </c>
      <c r="D30" s="19" t="inlineStr">
        <is>
          <t>Sun &amp; Water</t>
        </is>
      </c>
      <c r="E30" s="20" t="n">
        <v>8</v>
      </c>
      <c r="F30" s="20" t="n">
        <v>36</v>
      </c>
      <c r="G30" s="20" t="n">
        <v>12</v>
      </c>
      <c r="H30" s="20" t="n">
        <v>9</v>
      </c>
      <c r="I30" s="20" t="n">
        <v>5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Hinokami Kagura</t>
        </is>
      </c>
      <c r="Q30" s="22" t="inlineStr">
        <is>
          <t>Strike for PWR+5, ignores DEF.</t>
        </is>
      </c>
      <c r="R30" s="20" t="n">
        <v>2</v>
      </c>
      <c r="S30" s="22" t="inlineStr">
        <is>
          <t>Mark awakened: boosted stats and the special recharges 1 round faster.</t>
        </is>
      </c>
    </row>
    <row r="31" ht="15" customHeight="1" s="16">
      <c r="A31" s="19" t="inlineStr">
        <is>
          <t>Kyojuro Rengoku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Flame Hashira</t>
        </is>
      </c>
      <c r="E31" s="20" t="n">
        <v>7</v>
      </c>
      <c r="F31" s="20" t="n">
        <v>34</v>
      </c>
      <c r="G31" s="20" t="n">
        <v>11</v>
      </c>
      <c r="H31" s="20" t="n">
        <v>7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Ninth Form: Rengoku</t>
        </is>
      </c>
      <c r="Q31" s="22" t="inlineStr">
        <is>
          <t>Strike for PWR+8.</t>
        </is>
      </c>
      <c r="R31" s="20" t="n">
        <v>3</v>
      </c>
      <c r="S31" s="22" t="n"/>
    </row>
    <row r="32" ht="15" customHeight="1" s="16">
      <c r="A32" s="19" t="inlineStr">
        <is>
          <t>Muichiro Tokito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Mist Hashira</t>
        </is>
      </c>
      <c r="E32" s="20" t="n">
        <v>6</v>
      </c>
      <c r="F32" s="20" t="n">
        <v>26</v>
      </c>
      <c r="G32" s="20" t="n">
        <v>10</v>
      </c>
      <c r="H32" s="20" t="n">
        <v>11</v>
      </c>
      <c r="I32" s="20" t="n">
        <v>4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Obscuring Clouds</t>
        </is>
      </c>
      <c r="Q32" s="22" t="inlineStr">
        <is>
          <t>Moves early. Vanishes into mist (attacks miss him this round) and strikes for PWR+2.</t>
        </is>
      </c>
      <c r="R32" s="20" t="n">
        <v>3</v>
      </c>
      <c r="S32" s="22" t="n"/>
    </row>
    <row r="33" ht="26.85" customHeight="1" s="16">
      <c r="A33" s="19" t="inlineStr">
        <is>
          <t>Sanemi Shinazugawa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Wind Hashira</t>
        </is>
      </c>
      <c r="E33" s="20" t="n">
        <v>6</v>
      </c>
      <c r="F33" s="20" t="n">
        <v>34</v>
      </c>
      <c r="G33" s="20" t="n">
        <v>11</v>
      </c>
      <c r="H33" s="20" t="n">
        <v>9</v>
      </c>
      <c r="I33" s="20" t="n">
        <v>5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Black Wind Mountain Mist</t>
        </is>
      </c>
      <c r="Q33" s="22" t="inlineStr">
        <is>
          <t>Strike your target and one other enemy for PWR.</t>
        </is>
      </c>
      <c r="R33" s="20" t="n">
        <v>3</v>
      </c>
      <c r="S33" s="22" t="n"/>
    </row>
    <row r="34" ht="15" customHeight="1" s="16">
      <c r="A34" s="19" t="inlineStr">
        <is>
          <t>Tengen Uzui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Sound Hashira</t>
        </is>
      </c>
      <c r="E34" s="20" t="n">
        <v>6</v>
      </c>
      <c r="F34" s="20" t="n">
        <v>34</v>
      </c>
      <c r="G34" s="20" t="n">
        <v>10</v>
      </c>
      <c r="H34" s="20" t="n">
        <v>8</v>
      </c>
      <c r="I34" s="20" t="n">
        <v>5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Constant Resounding Slashes</t>
        </is>
      </c>
      <c r="Q34" s="22" t="inlineStr">
        <is>
          <t>Every enemy takes PWR−2.</t>
        </is>
      </c>
      <c r="R34" s="20" t="n">
        <v>3</v>
      </c>
      <c r="S34" s="22" t="n"/>
    </row>
    <row r="35" ht="26.85" customHeight="1" s="16">
      <c r="A35" s="19" t="inlineStr">
        <is>
          <t>Mitsuri Kanroji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Love Hashira</t>
        </is>
      </c>
      <c r="E35" s="20" t="n">
        <v>5</v>
      </c>
      <c r="F35" s="20" t="n">
        <v>28</v>
      </c>
      <c r="G35" s="20" t="n">
        <v>9</v>
      </c>
      <c r="H35" s="20" t="n">
        <v>9</v>
      </c>
      <c r="I35" s="20" t="n">
        <v>4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Catlove Shower</t>
        </is>
      </c>
      <c r="Q35" s="22" t="inlineStr">
        <is>
          <t>Every enemy takes PWR−3.</t>
        </is>
      </c>
      <c r="R35" s="20" t="n">
        <v>3</v>
      </c>
      <c r="S35" s="22" t="n"/>
    </row>
    <row r="36" ht="26.85" customHeight="1" s="16">
      <c r="A36" s="19" t="inlineStr">
        <is>
          <t>Obanai Iguro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Serpent Hashira</t>
        </is>
      </c>
      <c r="E36" s="20" t="n">
        <v>5</v>
      </c>
      <c r="F36" s="20" t="n">
        <v>26</v>
      </c>
      <c r="G36" s="20" t="n">
        <v>9</v>
      </c>
      <c r="H36" s="20" t="n">
        <v>10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Twin-Headed Reptile</t>
        </is>
      </c>
      <c r="Q36" s="22" t="inlineStr">
        <is>
          <t>Strike for PWR+4. Slips past guards (Defend does nothing).</t>
        </is>
      </c>
      <c r="R36" s="20" t="n">
        <v>3</v>
      </c>
      <c r="S36" s="22" t="n"/>
    </row>
    <row r="37" ht="26.85" customHeight="1" s="16">
      <c r="A37" s="19" t="inlineStr">
        <is>
          <t>Shinobu Kocho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Insect Hashira</t>
        </is>
      </c>
      <c r="E37" s="20" t="n">
        <v>5</v>
      </c>
      <c r="F37" s="20" t="n">
        <v>24</v>
      </c>
      <c r="G37" s="20" t="n">
        <v>6</v>
      </c>
      <c r="H37" s="20" t="n">
        <v>10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Wisteria Poison</t>
        </is>
      </c>
      <c r="Q37" s="22" t="inlineStr">
        <is>
          <t>Poison a target for 3 rounds: 6/round to demons, 3/round to humans.</t>
        </is>
      </c>
      <c r="R37" s="20" t="n">
        <v>3</v>
      </c>
      <c r="S37" s="22" t="inlineStr">
        <is>
          <t>Wisteria Body: if a demon lands the blow that knocks her out, it devours her and loses 5 HP every round for the rest of the match. (Not Akaza: he never eats women.)</t>
        </is>
      </c>
    </row>
    <row r="38">
      <c r="A38" s="19" t="inlineStr">
        <is>
          <t>Tanjiro Kamado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Sun &amp; Water</t>
        </is>
      </c>
      <c r="E38" s="20" t="n">
        <v>5</v>
      </c>
      <c r="F38" s="20" t="n">
        <v>28</v>
      </c>
      <c r="G38" s="20" t="n">
        <v>8</v>
      </c>
      <c r="H38" s="20" t="n">
        <v>7</v>
      </c>
      <c r="I38" s="20" t="n">
        <v>4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Hinokami Kagura</t>
        </is>
      </c>
      <c r="Q38" s="22" t="inlineStr">
        <is>
          <t>Strike for PWR+5, ignores DEF.</t>
        </is>
      </c>
      <c r="R38" s="20" t="n">
        <v>3</v>
      </c>
      <c r="S38" s="22" t="n"/>
    </row>
    <row r="39" ht="15" customHeight="1" s="16">
      <c r="A39" s="19" t="inlineStr">
        <is>
          <t>Inosuke Hashibira</t>
        </is>
      </c>
      <c r="B39" s="19" t="inlineStr">
        <is>
          <t>Base</t>
        </is>
      </c>
      <c r="C39" s="19" t="inlineStr">
        <is>
          <t>Slayer</t>
        </is>
      </c>
      <c r="D39" s="19" t="inlineStr">
        <is>
          <t>Beast</t>
        </is>
      </c>
      <c r="E39" s="20" t="n">
        <v>4</v>
      </c>
      <c r="F39" s="20" t="n">
        <v>28</v>
      </c>
      <c r="G39" s="20" t="n">
        <v>8</v>
      </c>
      <c r="H39" s="20" t="n">
        <v>8</v>
      </c>
      <c r="I39" s="20" t="n">
        <v>3</v>
      </c>
      <c r="J39" s="20" t="n">
        <v>0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Fang Frenzy</t>
        </is>
      </c>
      <c r="Q39" s="22" t="inlineStr">
        <is>
          <t>Two wild strikes of PWR−1 at random enemies.</t>
        </is>
      </c>
      <c r="R39" s="20" t="n">
        <v>2</v>
      </c>
      <c r="S39" s="22" t="n"/>
    </row>
    <row r="40" ht="15" customHeight="1" s="16">
      <c r="A40" s="19" t="inlineStr">
        <is>
          <t>Kanao Tsuyuri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Flower</t>
        </is>
      </c>
      <c r="E40" s="20" t="n">
        <v>4</v>
      </c>
      <c r="F40" s="20" t="n">
        <v>24</v>
      </c>
      <c r="G40" s="20" t="n">
        <v>7</v>
      </c>
      <c r="H40" s="20" t="n">
        <v>10</v>
      </c>
      <c r="I40" s="20" t="n">
        <v>3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Equinoctial Vermilion Eye</t>
        </is>
      </c>
      <c r="Q40" s="22" t="inlineStr">
        <is>
          <t>Moves early. Strike for PWR+4.</t>
        </is>
      </c>
      <c r="R40" s="20" t="n">
        <v>3</v>
      </c>
      <c r="S40" s="22" t="n"/>
    </row>
    <row r="41" ht="15" customHeight="1" s="16">
      <c r="A41" s="19" t="inlineStr">
        <is>
          <t>Nezuko Kamado</t>
        </is>
      </c>
      <c r="B41" s="19" t="inlineStr">
        <is>
          <t>Base</t>
        </is>
      </c>
      <c r="C41" s="19" t="inlineStr">
        <is>
          <t>Demon ally</t>
        </is>
      </c>
      <c r="D41" s="19" t="inlineStr">
        <is>
          <t>Demon ally</t>
        </is>
      </c>
      <c r="E41" s="20" t="n">
        <v>4</v>
      </c>
      <c r="F41" s="20" t="n">
        <v>24</v>
      </c>
      <c r="G41" s="20" t="n">
        <v>7</v>
      </c>
      <c r="H41" s="20" t="n">
        <v>7</v>
      </c>
      <c r="I41" s="20" t="n">
        <v>3</v>
      </c>
      <c r="J41" s="20" t="n">
        <v>1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Exploding Blood</t>
        </is>
      </c>
      <c r="Q41" s="22" t="inlineStr">
        <is>
          <t>Every enemy takes 5, ignores DEF.</t>
        </is>
      </c>
      <c r="R41" s="20" t="n">
        <v>3</v>
      </c>
      <c r="S41" s="22" t="n"/>
    </row>
    <row r="42" ht="15" customHeight="1" s="16">
      <c r="A42" s="19" t="inlineStr">
        <is>
          <t>Sabito &amp; Makomo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Spirits · Urokodaki's students</t>
        </is>
      </c>
      <c r="E42" s="20" t="n">
        <v>4</v>
      </c>
      <c r="F42" s="20" t="n">
        <v>24</v>
      </c>
      <c r="G42" s="20" t="n">
        <v>7</v>
      </c>
      <c r="H42" s="20" t="n">
        <v>10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Spirit Training</t>
        </is>
      </c>
      <c r="Q42" s="22" t="inlineStr">
        <is>
          <t>Train an ally (or themselves): +2 PWR for the rest of the match.</t>
        </is>
      </c>
      <c r="R42" s="20" t="n">
        <v>3</v>
      </c>
      <c r="S42" s="22" t="inlineStr">
        <is>
          <t>Urokodaki's students: they get his Mentor bonus too.</t>
        </is>
      </c>
    </row>
    <row r="43">
      <c r="A43" s="19" t="inlineStr">
        <is>
          <t>Sakonji Urokodaki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Former Water Hashira</t>
        </is>
      </c>
      <c r="E43" s="20" t="n">
        <v>4</v>
      </c>
      <c r="F43" s="20" t="n">
        <v>26</v>
      </c>
      <c r="G43" s="20" t="n">
        <v>7</v>
      </c>
      <c r="H43" s="20" t="n">
        <v>7</v>
      </c>
      <c r="I43" s="20" t="n">
        <v>4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Water Wheel</t>
        </is>
      </c>
      <c r="Q43" s="22" t="inlineStr">
        <is>
          <t>Strike for PWR+3.</t>
        </is>
      </c>
      <c r="R43" s="20" t="n">
        <v>2</v>
      </c>
      <c r="S43" s="22" t="inlineStr">
        <is>
          <t>Mentor: Tanjiro, Giyu and Sabito &amp; Makomo on his team get +1 DEF.</t>
        </is>
      </c>
    </row>
    <row r="44">
      <c r="A44" s="19" t="inlineStr">
        <is>
          <t>Tengen Uzui (Retired)</t>
        </is>
      </c>
      <c r="B44" s="19" t="inlineStr">
        <is>
          <t>Retired</t>
        </is>
      </c>
      <c r="C44" s="19" t="inlineStr">
        <is>
          <t>Slayer</t>
        </is>
      </c>
      <c r="D44" s="19" t="inlineStr">
        <is>
          <t>Former Sound Hashira</t>
        </is>
      </c>
      <c r="E44" s="20" t="n">
        <v>4</v>
      </c>
      <c r="F44" s="20" t="n">
        <v>28</v>
      </c>
      <c r="G44" s="20" t="n">
        <v>8</v>
      </c>
      <c r="H44" s="20" t="n">
        <v>7</v>
      </c>
      <c r="I44" s="20" t="n">
        <v>4</v>
      </c>
      <c r="J44" s="20" t="n">
        <v>0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Bodyguard</t>
        </is>
      </c>
      <c r="Q44" s="22" t="inlineStr">
        <is>
          <t>Moves first. Shields an ally (or himself): they count as Defending this round and take half damage.</t>
        </is>
      </c>
      <c r="R44" s="20" t="n">
        <v>2</v>
      </c>
      <c r="S44" s="22" t="inlineStr">
        <is>
          <t>Retired: lost a hand and an eye, so he no longer counts as a Hashira.</t>
        </is>
      </c>
    </row>
    <row r="45">
      <c r="A45" s="19" t="inlineStr">
        <is>
          <t>Zenitsu Agatsuma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Thunder</t>
        </is>
      </c>
      <c r="E45" s="20" t="n">
        <v>4</v>
      </c>
      <c r="F45" s="20" t="n">
        <v>22</v>
      </c>
      <c r="G45" s="20" t="n">
        <v>7</v>
      </c>
      <c r="H45" s="20" t="n">
        <v>10</v>
      </c>
      <c r="I45" s="20" t="n">
        <v>2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Thunderclap and Flash</t>
        </is>
      </c>
      <c r="Q45" s="22" t="inlineStr">
        <is>
          <t>Always moves first. Strike for PWR×2.</t>
        </is>
      </c>
      <c r="R45" s="20" t="n">
        <v>3</v>
      </c>
      <c r="S45" s="22" t="n"/>
    </row>
    <row r="46">
      <c r="A46" s="19" t="inlineStr">
        <is>
          <t>Genya Shinazugawa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Demon eater</t>
        </is>
      </c>
      <c r="E46" s="20" t="n">
        <v>3</v>
      </c>
      <c r="F46" s="20" t="n">
        <v>24</v>
      </c>
      <c r="G46" s="20" t="n">
        <v>7</v>
      </c>
      <c r="H46" s="20" t="n">
        <v>6</v>
      </c>
      <c r="I46" s="20" t="n">
        <v>3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Demon Consumption</t>
        </is>
      </c>
      <c r="Q46" s="22" t="inlineStr">
        <is>
          <t>Heal 8 and gain +2 PWR for the rest of the match.</t>
        </is>
      </c>
      <c r="R46" s="20" t="n">
        <v>3</v>
      </c>
      <c r="S46" s="22" t="n"/>
    </row>
    <row r="47">
      <c r="A47" s="19" t="inlineStr">
        <is>
          <t>Tamayo</t>
        </is>
      </c>
      <c r="B47" s="19" t="inlineStr">
        <is>
          <t>Base</t>
        </is>
      </c>
      <c r="C47" s="19" t="inlineStr">
        <is>
          <t>Demon ally</t>
        </is>
      </c>
      <c r="D47" s="19" t="inlineStr">
        <is>
          <t>Physician · Demon ally</t>
        </is>
      </c>
      <c r="E47" s="20" t="n">
        <v>3</v>
      </c>
      <c r="F47" s="20" t="n">
        <v>22</v>
      </c>
      <c r="G47" s="20" t="n">
        <v>5</v>
      </c>
      <c r="H47" s="20" t="n">
        <v>7</v>
      </c>
      <c r="I47" s="20" t="n">
        <v>3</v>
      </c>
      <c r="J47" s="20" t="n">
        <v>2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Healing Blood Art</t>
        </is>
      </c>
      <c r="Q47" s="22" t="inlineStr">
        <is>
          <t>Heal an ally (or herself) for 10 and cure poison.</t>
        </is>
      </c>
      <c r="R47" s="20" t="n">
        <v>2</v>
      </c>
      <c r="S47" s="22" t="inlineStr">
        <is>
          <t>Anti-Muzan Medicine: an enemy Muzan's regeneration drops by 2.</t>
        </is>
      </c>
    </row>
    <row r="48">
      <c r="A48" s="19" t="inlineStr">
        <is>
          <t>Yushiro</t>
        </is>
      </c>
      <c r="B48" s="19" t="inlineStr">
        <is>
          <t>Base</t>
        </is>
      </c>
      <c r="C48" s="19" t="inlineStr">
        <is>
          <t>Demon ally</t>
        </is>
      </c>
      <c r="D48" s="19" t="inlineStr">
        <is>
          <t>Tamayo's guardian · Demon ally</t>
        </is>
      </c>
      <c r="E48" s="20" t="n">
        <v>3</v>
      </c>
      <c r="F48" s="20" t="n">
        <v>20</v>
      </c>
      <c r="G48" s="20" t="n">
        <v>6</v>
      </c>
      <c r="H48" s="20" t="n">
        <v>9</v>
      </c>
      <c r="I48" s="20" t="n">
        <v>3</v>
      </c>
      <c r="J48" s="20" t="n">
        <v>1</v>
      </c>
      <c r="K48" s="21">
        <f>1/F48</f>
        <v/>
      </c>
      <c r="L48" s="21">
        <f>J48/F48</f>
        <v/>
      </c>
      <c r="M48" s="20" t="n">
        <v>1</v>
      </c>
      <c r="N48" s="20" t="n"/>
      <c r="O48" s="21">
        <f>IF(N48="","",N48/F48)</f>
        <v/>
      </c>
      <c r="P48" s="19" t="inlineStr">
        <is>
          <t>Concealment Talisman</t>
        </is>
      </c>
      <c r="Q48" s="22" t="inlineStr">
        <is>
          <t>Moves first. Hide an ally (or himself): attacks against them miss this round.</t>
        </is>
      </c>
      <c r="R48" s="20" t="n">
        <v>3</v>
      </c>
      <c r="S48" s="22" t="n"/>
    </row>
    <row r="49">
      <c r="A49" s="19" t="inlineStr">
        <is>
          <t>Kagaya Ubuyashiki</t>
        </is>
      </c>
      <c r="B49" s="19" t="inlineStr">
        <is>
          <t>Base</t>
        </is>
      </c>
      <c r="C49" s="19" t="inlineStr">
        <is>
          <t>Slayer</t>
        </is>
      </c>
      <c r="D49" s="19" t="inlineStr">
        <is>
          <t>Corps Master</t>
        </is>
      </c>
      <c r="E49" s="20" t="n">
        <v>2</v>
      </c>
      <c r="F49" s="20" t="n">
        <v>14</v>
      </c>
      <c r="G49" s="20" t="n">
        <v>2</v>
      </c>
      <c r="H49" s="20" t="n">
        <v>5</v>
      </c>
      <c r="I49" s="20" t="n">
        <v>1</v>
      </c>
      <c r="J49" s="20" t="n">
        <v>0</v>
      </c>
      <c r="K49" s="21">
        <f>1/F49</f>
        <v/>
      </c>
      <c r="L49" s="21">
        <f>J49/F49</f>
        <v/>
      </c>
      <c r="M49" s="20" t="n">
        <v>1</v>
      </c>
      <c r="N49" s="20" t="n"/>
      <c r="O49" s="21">
        <f>IF(N49="","",N49/F49)</f>
        <v/>
      </c>
      <c r="P49" s="19" t="inlineStr">
        <is>
          <t>Words of Resolve</t>
        </is>
      </c>
      <c r="Q49" s="22" t="inlineStr">
        <is>
          <t>Every ally, himself included, heals 4.</t>
        </is>
      </c>
      <c r="R49" s="20" t="n">
        <v>3</v>
      </c>
      <c r="S49" s="22" t="inlineStr">
        <is>
          <t>Master of the Corps: every Hashira on his team gets +1 DEF.</t>
        </is>
      </c>
    </row>
    <row r="50">
      <c r="A50" s="19" t="inlineStr">
        <is>
          <t>Murata</t>
        </is>
      </c>
      <c r="B50" s="19" t="inlineStr">
        <is>
          <t>Base</t>
        </is>
      </c>
      <c r="C50" s="19" t="inlineStr">
        <is>
          <t>Slayer</t>
        </is>
      </c>
      <c r="D50" s="19" t="inlineStr">
        <is>
          <t>Water · rank and file</t>
        </is>
      </c>
      <c r="E50" s="20" t="n">
        <v>2</v>
      </c>
      <c r="F50" s="20" t="n">
        <v>10</v>
      </c>
      <c r="G50" s="20" t="n">
        <v>4</v>
      </c>
      <c r="H50" s="20" t="n">
        <v>6</v>
      </c>
      <c r="I50" s="20" t="n">
        <v>2</v>
      </c>
      <c r="J50" s="20" t="n">
        <v>0</v>
      </c>
      <c r="K50" s="21">
        <f>1/F50</f>
        <v/>
      </c>
      <c r="L50" s="21">
        <f>J50/F50</f>
        <v/>
      </c>
      <c r="M50" s="20" t="n">
        <v>1</v>
      </c>
      <c r="N50" s="20" t="n"/>
      <c r="O50" s="21">
        <f>IF(N50="","",N50/F50)</f>
        <v/>
      </c>
      <c r="P50" s="19" t="inlineStr">
        <is>
          <t>Water Surface Slash</t>
        </is>
      </c>
      <c r="Q50" s="22" t="inlineStr">
        <is>
          <t>Strike for PWR+2.</t>
        </is>
      </c>
      <c r="R50" s="20" t="n">
        <v>2</v>
      </c>
      <c r="S50" s="22" t="inlineStr">
        <is>
          <t>Somehow Survives: the first hit that would knock him out leaves him at 1 HP instead.</t>
        </is>
      </c>
    </row>
    <row r="51">
      <c r="A51" s="19" t="inlineStr">
        <is>
          <t>Chachamaru</t>
        </is>
      </c>
      <c r="B51" s="19" t="inlineStr">
        <is>
          <t>Helper</t>
        </is>
      </c>
      <c r="C51" s="19" t="inlineStr">
        <is>
          <t>Helper</t>
        </is>
      </c>
      <c r="D51" s="19" t="inlineStr">
        <is>
          <t>Tamayo's cat · back-pocket helper</t>
        </is>
      </c>
      <c r="E51" s="20" t="n">
        <v>1</v>
      </c>
      <c r="F51" s="20" t="n"/>
      <c r="G51" s="20" t="n"/>
      <c r="H51" s="20" t="n"/>
      <c r="I51" s="20" t="n"/>
      <c r="J51" s="20" t="n"/>
      <c r="K51" s="21" t="n"/>
      <c r="L51" s="21" t="n"/>
      <c r="M51" s="20" t="n"/>
      <c r="N51" s="20" t="n"/>
      <c r="O51" s="21" t="n"/>
      <c r="P51" s="19" t="inlineStr">
        <is>
          <t>Medicine Delivery</t>
        </is>
      </c>
      <c r="Q51" s="22" t="inlineStr">
        <is>
          <t>Every fighter on your team heals half of their current health (50% becomes 75%).</t>
        </is>
      </c>
      <c r="R51" s="20" t="n"/>
      <c r="S51" s="22" t="inlineStr">
        <is>
          <t>Back-pocket helper: no fighter slot, not on the battlefield, used once on a round you choose.</t>
        </is>
      </c>
    </row>
    <row r="52">
      <c r="A52" s="19" t="inlineStr">
        <is>
          <t>Kasugai Crow</t>
        </is>
      </c>
      <c r="B52" s="19" t="inlineStr">
        <is>
          <t>Helper</t>
        </is>
      </c>
      <c r="C52" s="19" t="inlineStr">
        <is>
          <t>Helper</t>
        </is>
      </c>
      <c r="D52" s="19" t="inlineStr">
        <is>
          <t>Messenger crow · back-pocket helper</t>
        </is>
      </c>
      <c r="E52" s="20" t="n">
        <v>1</v>
      </c>
      <c r="F52" s="20" t="n"/>
      <c r="G52" s="20" t="n"/>
      <c r="H52" s="20" t="n"/>
      <c r="I52" s="20" t="n"/>
      <c r="J52" s="20" t="n"/>
      <c r="K52" s="21" t="n"/>
      <c r="L52" s="21" t="n"/>
      <c r="M52" s="20" t="n"/>
      <c r="N52" s="20" t="n"/>
      <c r="O52" s="21" t="n"/>
      <c r="P52" s="19" t="inlineStr">
        <is>
          <t>Scouting Report</t>
        </is>
      </c>
      <c r="Q52" s="22" t="inlineStr">
        <is>
          <t>After both sides lock in, the crow shows you the enemy's moves, and you can change yours before the round plays.</t>
        </is>
      </c>
      <c r="R52" s="20" t="n"/>
      <c r="S52" s="22" t="inlineStr">
        <is>
          <t>Back-pocket helper: no fighter slot, not on the battlefield, used once on a round you choose.</t>
        </is>
      </c>
    </row>
    <row r="53">
      <c r="A53" s="19" t="inlineStr">
        <is>
          <t>Muscle Mice</t>
        </is>
      </c>
      <c r="B53" s="19" t="inlineStr">
        <is>
          <t>Helper</t>
        </is>
      </c>
      <c r="C53" s="19" t="inlineStr">
        <is>
          <t>Helper</t>
        </is>
      </c>
      <c r="D53" s="19" t="inlineStr">
        <is>
          <t>Tengen's mice · back-pocket helper</t>
        </is>
      </c>
      <c r="E53" s="20" t="n">
        <v>1</v>
      </c>
      <c r="F53" s="20" t="n"/>
      <c r="G53" s="20" t="n"/>
      <c r="H53" s="20" t="n"/>
      <c r="I53" s="20" t="n"/>
      <c r="J53" s="20" t="n"/>
      <c r="K53" s="21" t="n"/>
      <c r="L53" s="21" t="n"/>
      <c r="M53" s="20" t="n"/>
      <c r="N53" s="20" t="n"/>
      <c r="O53" s="21" t="n"/>
      <c r="P53" s="19" t="inlineStr">
        <is>
          <t>Flex!</t>
        </is>
      </c>
      <c r="Q53" s="22" t="inlineStr">
        <is>
          <t>Every fighter on your team gets +2 PWR for this round.</t>
        </is>
      </c>
      <c r="R53" s="20" t="n"/>
      <c r="S53" s="22" t="inlineStr">
        <is>
          <t>Back-pocket helper: no fighter slot, not on the battlefield, used once on a round you choose.</t>
        </is>
      </c>
    </row>
    <row r="54"/>
    <row r="55">
      <c r="A55" s="24" t="inlineStr">
        <is>
          <t>Notes</t>
        </is>
      </c>
    </row>
    <row r="56">
      <c r="A56" s="25" t="inlineStr">
        <is>
          <t>Blue numbers are the game's current stats (from Squad Draft, Oct 25 2026). Black cells are formulas.</t>
        </is>
      </c>
    </row>
    <row r="57">
      <c r="A57" s="25" t="inlineStr">
        <is>
          <t>"1 HP = % of bar": how much of a fighter's bar one point of damage removes. Smaller = tankier.</t>
        </is>
      </c>
    </row>
    <row r="58">
      <c r="A58" s="25" t="inlineStr">
        <is>
          <t>Pink rows are Mark-awakened versions (+8 HP, +4 PWR, +2 SPD, +1 DEF, special 1 round faster; cost set per character). Gold rows are Legends.</t>
        </is>
      </c>
    </row>
    <row r="59">
      <c r="A59" s="25" t="inlineStr">
        <is>
          <t>Split forms (cost 0) are never drafted: they join Hantengu's team when he or another form falls. Retired Tengen and Final-Form Muzan are second versions (one or the other is dealt). Helpers (1 pt) sit in the back pocket and have no fighting stats.</t>
        </is>
      </c>
    </row>
  </sheetData>
  <autoFilter ref="A1:S53"/>
  <conditionalFormatting sqref="F2:F53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IF(A5="","",INDEX(Roster!$F$2:$F$53,MATCH(A5,Roster!$A$2:$A$53,0)))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IF(A6="","",INDEX(Roster!$F$2:$F$53,MATCH(A6,Roster!$A$2:$A$53,0)))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IF(A7="","",INDEX(Roster!$F$2:$F$53,MATCH(A7,Roster!$A$2:$A$53,0)))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IF(A8="","",INDEX(Roster!$F$2:$F$53,MATCH(A8,Roster!$A$2:$A$53,0)))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IF(A9="","",INDEX(Roster!$F$2:$F$53,MATCH(A9,Roster!$A$2:$A$53,0)))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IF(A10="","",INDEX(Roster!$F$2:$F$53,MATCH(A10,Roster!$A$2:$A$53,0)))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IF(A11="","",INDEX(Roster!$F$2:$F$53,MATCH(A11,Roster!$A$2:$A$53,0)))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IF(A12="","",INDEX(Roster!$F$2:$F$53,MATCH(A12,Roster!$A$2:$A$53,0)))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IF(A13="","",INDEX(Roster!$F$2:$F$53,MATCH(A13,Roster!$A$2:$A$53,0)))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IF(A14="","",INDEX(Roster!$F$2:$F$53,MATCH(A14,Roster!$A$2:$A$53,0)))</f>
        <v/>
      </c>
      <c r="D14" s="30">
        <f>IF(OR(A14="",B14=""),"",MAX(0,MIN(1,B14/C14)))</f>
        <v/>
      </c>
      <c r="E14" s="29">
        <f>IF(D14="","",ROUND(D14*100,0)&amp;"% Health")</f>
        <v/>
      </c>
    </row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Roster!$A$2:$A$53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2026-10-25T22:26:12Z</dcterms:modified>
  <cp:revision>0</cp:revision>
</cp:coreProperties>
</file>